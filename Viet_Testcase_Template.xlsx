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20" firstSheet="8" activeTab="12"/>
  </bookViews>
  <sheets>
    <sheet name="Cover" sheetId="1" r:id="rId1"/>
    <sheet name="TestReport" sheetId="2" r:id="rId2"/>
    <sheet name="Đăng ký ứng viên" sheetId="3" r:id="rId3"/>
    <sheet name="Đăng ký nhà tuyển dụng" sheetId="4" r:id="rId4"/>
    <sheet name="Sửa Xóa bài Đăng việc làm" sheetId="5" r:id="rId5"/>
    <sheet name="Đăng nhập hệ thống" sheetId="6" r:id="rId6"/>
    <sheet name="Đăng xuất tài khoản" sheetId="7" r:id="rId7"/>
    <sheet name="Đăng bài tìm ứng viên" sheetId="8" r:id="rId8"/>
    <sheet name="Xem ứng viên ứng tuyển" sheetId="9" r:id="rId9"/>
    <sheet name="Ứng tuyển công việc" sheetId="10" r:id="rId10"/>
    <sheet name="Chỉnh sửa hồ sơ ứng viên" sheetId="11" r:id="rId11"/>
    <sheet name="Ứng viên đăng bài" sheetId="12" r:id="rId12"/>
    <sheet name="Permisison Matrix" sheetId="13" r:id="rId13"/>
  </sheets>
  <definedNames>
    <definedName name="_xlnm._FilterDatabase" localSheetId="2" hidden="1">'Đăng ký ứng viên'!$A$8:$I$28</definedName>
    <definedName name="_xlnm._FilterDatabase" localSheetId="3" hidden="1">'Đăng ký nhà tuyển dụng'!$A$8:$I$26</definedName>
    <definedName name="_xlnm._FilterDatabase" localSheetId="4" hidden="1">'Sửa Xóa bài Đăng việc làm'!$A$8:$I$18</definedName>
    <definedName name="_xlnm._FilterDatabase" localSheetId="5" hidden="1">'Đăng nhập hệ thống'!$A$8:$I$52</definedName>
    <definedName name="_xlnm._FilterDatabase" localSheetId="6" hidden="1">'Đăng xuất tài khoản'!$A$8:$I$15</definedName>
    <definedName name="_xlnm._FilterDatabase" localSheetId="7" hidden="1">'Đăng bài tìm ứng viên'!$A$8:$I$17</definedName>
    <definedName name="_xlnm._FilterDatabase" localSheetId="8" hidden="1">'Xem ứng viên ứng tuyển'!$A$8:$I$12</definedName>
    <definedName name="_xlnm._FilterDatabase" localSheetId="9" hidden="1">'Ứng tuyển công việc'!$A$8:$I$16</definedName>
    <definedName name="_xlnm._FilterDatabase" localSheetId="10" hidden="1">'Chỉnh sửa hồ sơ ứng viên'!$A$8:$I$16</definedName>
    <definedName name="_xlnm._FilterDatabase" localSheetId="11" hidden="1">'Ứng viên đăng bài'!$A$8:$I$15</definedName>
    <definedName name="Category" localSheetId="5">#REF!</definedName>
    <definedName name="Category" localSheetId="2">#REF!</definedName>
    <definedName name="Category" localSheetId="9">#REF!</definedName>
    <definedName name="Category" localSheetId="10">#REF!</definedName>
    <definedName name="Category" localSheetId="7">#REF!</definedName>
    <definedName name="Category" localSheetId="4">#REF!</definedName>
    <definedName name="Category" localSheetId="6">#REF!</definedName>
    <definedName name="Category" localSheetId="11">#REF!</definedName>
    <definedName name="Category" localSheetId="3">#REF!</definedName>
    <definedName name="Category">#REF!</definedName>
    <definedName name="Category" localSheetId="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I8" authorId="0">
      <text>
        <r>
          <rPr>
            <sz val="10"/>
            <rFont val="SimSun"/>
            <charset val="134"/>
          </rPr>
          <t>======
ID#AAAApfSoH2Y
My PC    (2023-02-01 04:30:58)
Định dang dd/mm/yyy</t>
        </r>
      </text>
    </comment>
  </commentList>
</comments>
</file>

<file path=xl/sharedStrings.xml><?xml version="1.0" encoding="utf-8"?>
<sst xmlns="http://schemas.openxmlformats.org/spreadsheetml/2006/main" count="1084" uniqueCount="320">
  <si>
    <t>TEST CASE</t>
  </si>
  <si>
    <t>Project Name</t>
  </si>
  <si>
    <t>Tìm kiếm việc làm</t>
  </si>
  <si>
    <t>Creator</t>
  </si>
  <si>
    <t>Việt</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</si>
  <si>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</si>
  <si>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</si>
  <si>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</si>
  <si>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</si>
  <si>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</si>
  <si>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</si>
  <si>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</si>
  <si>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</si>
  <si>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</si>
  <si>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</si>
  <si>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</si>
  <si>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</si>
  <si>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</si>
  <si>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</si>
  <si>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</si>
  <si>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</si>
  <si>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</si>
  <si>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</si>
  <si>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</si>
  <si>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</si>
  <si>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Đăng ký ứng viên</t>
  </si>
  <si>
    <t>Đăng ký nhà tuyển dụng</t>
  </si>
  <si>
    <t>Đăng nhập hệ thống</t>
  </si>
  <si>
    <t>Đăng xuất tài khoản</t>
  </si>
  <si>
    <t>Đăng bài tìm ứng viên</t>
  </si>
  <si>
    <t>Sửa xóa bài đăng việc làm</t>
  </si>
  <si>
    <t>Xem thông tin ứng viên đã ứng tuyển</t>
  </si>
  <si>
    <t>Ứng tuyển công việc</t>
  </si>
  <si>
    <t>Chỉnh sửa hồ sơ ứng viên</t>
  </si>
  <si>
    <t>Ứng viên đăng bài</t>
  </si>
  <si>
    <t>Sub total</t>
  </si>
  <si>
    <t>Test coverage</t>
  </si>
  <si>
    <t>%</t>
  </si>
  <si>
    <t>Test successful coverage</t>
  </si>
  <si>
    <t>Item Test</t>
  </si>
  <si>
    <t>UC01</t>
  </si>
  <si>
    <t>Test requirement</t>
  </si>
  <si>
    <t xml:space="preserve">Ensure that all features listed below work properly without any errors when using the below browsers.
- Edge in latest version 
- Google Chrome in latest version </t>
  </si>
  <si>
    <t>Tester</t>
  </si>
  <si>
    <t>Number of Test cases</t>
  </si>
  <si>
    <t>ID</t>
  </si>
  <si>
    <t>Test Case Description</t>
  </si>
  <si>
    <t>Pre-condition</t>
  </si>
  <si>
    <t>Test Case Procedure</t>
  </si>
  <si>
    <t>Expected Output</t>
  </si>
  <si>
    <t>Result</t>
  </si>
  <si>
    <t>Test date</t>
  </si>
  <si>
    <t>1.1. Kiểm tra giao diện</t>
  </si>
  <si>
    <t>Kiểm tra tổng quan màn hình Đăng ký ứng viên</t>
  </si>
  <si>
    <t>Truy cập vào hệ thống http://34.143.239.189/</t>
  </si>
  <si>
    <t>1. Vào trang đăng nhập và đăng ký.
2. Chọn đăng kí dành cho ứng viên</t>
  </si>
  <si>
    <t>Màn hình hiển thị đầy đủ các field gồm:
- Icon: Avatar
- Button: Chọn tệp
- Icon: Họ và tên, Số điện thoại, Kĩ năng, Email, Ngày Sinh, Ngoại ngữ, Tài khoản, Kinh nghiệm, Học vấn, Mật khẩu, Giới thiệu bản thân
- Textbox: Họ và tên, Số điện thoại, Kĩ năng, Email, Ngày Sinh, Ngoại ngữ, Tài khoản, Kinh nghiệm, Học vấn, Mật khẩu, Giới thiệu bản thân
- Radio button: Nam, nữ
- Button: Chọn tệp, Đăng ký, Đăng nhập ngay</t>
  </si>
  <si>
    <t>17/04/2024</t>
  </si>
  <si>
    <t>Kiểm tra chi tiết các button</t>
  </si>
  <si>
    <t>Cho phép click vào các button</t>
  </si>
  <si>
    <t>Kiểm tra chi tiết các textbox</t>
  </si>
  <si>
    <t>- Watermark ứng với các field
- Cho phép nhập thông tin vào field</t>
  </si>
  <si>
    <t>Kiểm tra các Radio buton</t>
  </si>
  <si>
    <t>Cho phép click vào các Radio button</t>
  </si>
  <si>
    <t>Kiểm tra các Icon</t>
  </si>
  <si>
    <t>Các icon ứng với các field ở màn hình theo yêu cầu</t>
  </si>
  <si>
    <t>1.2. Kiểm tra chức năng</t>
  </si>
  <si>
    <t>Kiểm tra bỏ trống các trường bắt buộc</t>
  </si>
  <si>
    <t>1. Vào trang đăng nhập và đăng ký.
2. Chọn đăng kí dành cho ứng viên.
3. Nhập thông tin vào các textbox có ở màn hình nhưng bỏ trống các trường bắt buộc: Họ tên, số điện thoại, email, ngày sinh, giới tính
4. Chọn nút đăng ký</t>
  </si>
  <si>
    <t>- Không thể tạo Tài khoản vì không nhập thông tin bắt buộc
- Đăng ký thất bại</t>
  </si>
  <si>
    <t>Kiểm tra bỏ trống các trường không bắt buộc</t>
  </si>
  <si>
    <t>1. Vào trang đăng nhập và đăng ký.
2. Chọn đăng kí dành cho ứng viên.
3. Nhập thông tin vào các textbox có ở màn hình nhưng bỏ trống các trường không bắt buộc
4. Chọn nút đăng ký</t>
  </si>
  <si>
    <t>Cho phép tạo tài khoản</t>
  </si>
  <si>
    <r>
      <rPr>
        <sz val="10"/>
        <color theme="1"/>
        <rFont val="Tahoma"/>
        <charset val="134"/>
      </rPr>
      <t xml:space="preserve">Hiện tại các trường không bắt buộc nhập lại bắt buộc phải nhập.
EV: </t>
    </r>
    <r>
      <rPr>
        <sz val="10"/>
        <color theme="4"/>
        <rFont val="Tahoma"/>
        <charset val="134"/>
      </rPr>
      <t>https://drive.google.com/file/d/18Oe8XZqrEzFYGj3tRzcjg_E2_C4fEV4d/view?usp=sharing</t>
    </r>
  </si>
  <si>
    <t>Đăng ký với Tài khoản đã tồn tại</t>
  </si>
  <si>
    <t>1. Vào trang đăng nhập và đăng ký.
2. Chọn đăng kí dành cho ứng viên.
3. Nhập một tài khoản đã tồn tại
4. Chọn nút đăng ký</t>
  </si>
  <si>
    <t>Đăng ký không thành công và hiển thị thông báo "Tài khoản đã tồn tại"</t>
  </si>
  <si>
    <t>20/04/2024</t>
  </si>
  <si>
    <r>
      <rPr>
        <sz val="10"/>
        <color theme="1"/>
        <rFont val="Tahoma"/>
        <charset val="134"/>
      </rPr>
      <t xml:space="preserve">Vẫn có thể tạo TK đã tồn tại.
EV: 
</t>
    </r>
    <r>
      <rPr>
        <sz val="10"/>
        <color theme="4"/>
        <rFont val="Tahoma"/>
        <charset val="134"/>
      </rPr>
      <t>https://drive.google.com/file/d/1i8xdRqWumsJT1TroEgcI5l8DUbZrioXO/view?usp=sharing</t>
    </r>
  </si>
  <si>
    <t>Đăng ký tài khoản với một Email đã tồn tại trên hệ thống</t>
  </si>
  <si>
    <t>1. Vào trang đăng nhập và đăng ký.
2. Chọn đăng kí dành cho ứng viên.
3. Tạo tài khoản với Email đã có trên hệ thống
4. Chọn nút đăng ký</t>
  </si>
  <si>
    <t>Đăng ký không thành công và hiển thị thông báo "Email đã tồn tại trên hệ thống"</t>
  </si>
  <si>
    <t>Nhập sai định dạng Email</t>
  </si>
  <si>
    <t>1. Vào trang đăng nhập và đăng ký.
2. Chọn đăng kí dành cho ứng viên.
3. Nhập thông tin vào các textbox có ở màn hình nhưng nhập sai định dạng email
4. Chọn nút đăng ký</t>
  </si>
  <si>
    <t>Đăng ký không thành công và hiển thị thông báo "Email hoặc Số điện thoại không hợp lệ"</t>
  </si>
  <si>
    <t>Đăng ký tài khoản với một Số điện thoại đã tồn tại trên hệ thống</t>
  </si>
  <si>
    <t>1. Vào trang đăng nhập và đăng ký.
2. Chọn đăng kí dành cho ứng viên.
3. Tạo tài khoản với Số điện thoại đã có trên hệ thống
4. Chọn nút đăng ký</t>
  </si>
  <si>
    <t>Nhập sai định dạng Số điện thoại</t>
  </si>
  <si>
    <t>1. Vào trang đăng nhập và đăng ký.
2. Chọn đăng kí dành cho ứng viên.
3. Nhập các trường có ở màn hình và sai định dạng SĐT
4. Chọn nút đăng ký</t>
  </si>
  <si>
    <r>
      <rPr>
        <sz val="10"/>
        <color theme="1"/>
        <rFont val="Tahoma"/>
        <charset val="134"/>
      </rPr>
      <t xml:space="preserve">Không hiển thị thông báo như yêu cầu.
EV:
</t>
    </r>
    <r>
      <rPr>
        <sz val="10"/>
        <color theme="4"/>
        <rFont val="Tahoma"/>
        <charset val="134"/>
      </rPr>
      <t>https://drive.google.com/file/d/1eL4CVafKne6iodnGWI6_98eb8-NYZ7E7/view?usp=drive_link</t>
    </r>
  </si>
  <si>
    <t>Nhập mật khẩu ít hơn 8 ký tự, có chữ hoa, thường, số và ký tự đặc biệt</t>
  </si>
  <si>
    <t>1. Vào trang đăng nhập và đăng ký.
2. Chọn đăng kí dành cho ứng viên.
3. Nhập mật khẩu ít hơn 8 ký tự
4. Chọn nút đăng ký</t>
  </si>
  <si>
    <t>Đăng ký không thành công và hiển thị thông báo “Mật khẩu không hợp lệ, mật khẩu phải tối thiểu 8 kí tự, bao gồm chữ hoa, thường, số và kí tự đặc biệt”</t>
  </si>
  <si>
    <r>
      <rPr>
        <sz val="10"/>
        <color theme="1"/>
        <rFont val="Tahoma"/>
        <charset val="134"/>
      </rPr>
      <t xml:space="preserve">Hiển thị sai câu thông báo và giới hạn ký tự không đúng như yêu cầu (Yêu cầu tối thiểu 8 ký tự nhưng hệ thống đang là 5)
EV: </t>
    </r>
    <r>
      <rPr>
        <sz val="10"/>
        <color theme="4"/>
        <rFont val="Tahoma"/>
        <charset val="134"/>
      </rPr>
      <t>https://drive.google.com/file/d/1zluaXb13DIEHXaYVELHW82WdkRJW2sfK/view?usp=drive_link</t>
    </r>
  </si>
  <si>
    <t>Nhập mật khẩu thiếu chữ hoa, &gt;= 8 ký tự, có  chữ thường, số và ký tự đặc biệt</t>
  </si>
  <si>
    <t>1. Vào trang đăng nhập và đăng ký.
2. Chọn đăng kí dành cho ứng viên.
3. Nhập mật khẩu thiếu chữ hoa, &gt;= 8 ký tự, có  chữ thường, số và ký tự đặc biệt
4. Chọn nút đăng ký</t>
  </si>
  <si>
    <t>Đăng ký không thành công và hiển thị thông báo "“Mật khẩu không hợp lệ, mật khẩu phải tối thiểu 8 kí tự, bao gồm chữ hoa, thường, số và kí tự đặc biệt”"</t>
  </si>
  <si>
    <t>Nhập mật khẩu thiếu chữ thường, &gt;= 8 ký tự, có chữ hoa, số và ký tự đặc biệt</t>
  </si>
  <si>
    <t>1. Vào trang đăng nhập và đăng ký.
2. Chọn đăng kí dành cho ứng viên.
3. Nhập mật khẩu thiếu chữ thường, &gt;= 8 ký tự, có chữ hoa, số và ký tự đặc biệt
4. Chọn nút đăng ký</t>
  </si>
  <si>
    <t>Nhập mật khẩu thiếu chữ số , &gt;= 8 ký tự, có chữ hoa, thường và ký tự đặc biệt</t>
  </si>
  <si>
    <t>1. Vào trang đăng nhập và đăng ký.
2. Chọn đăng kí dành cho ứng viên.
3. Nhập mật khẩu thiếu chữ số , &gt;= 8 ký tự, có chữ hoa, thường và ký tự đặc biệt
4. Chọn nút đăng ký</t>
  </si>
  <si>
    <t>Nhập mật khẩu thiếu ký tự đặc biệt, &gt;= 8 ký tự, có chữ hoa, thường và chữ số</t>
  </si>
  <si>
    <t>1. Vào trang đăng nhập và đăng ký.
2. Chọn đăng kí dành cho ứng viên.
3. Nhập mật khẩu thiếu ký tự đặc biệt, &gt;= 8 ký tự, có chữ hoa, thường và chữ số
4. Chọn nút đăng ký</t>
  </si>
  <si>
    <t xml:space="preserve">Nhập thông tin đầy đủ, đúng định dạng và theo yêu cầu </t>
  </si>
  <si>
    <t>1. Vào trang đăng nhập và đăng ký.
2. Chọn đăng kí dành cho ứng viên.
3. Nhập thông tin có ở các field
4. Chọn nút đăng ký</t>
  </si>
  <si>
    <t>Hiển thị thông báo Đăng ký thành công và chuyển về trang đăng nhập</t>
  </si>
  <si>
    <t>UC02</t>
  </si>
  <si>
    <t>Kiểm tra tổng quan màn hình Đăng ký nhà tuyển dụng</t>
  </si>
  <si>
    <t>1. Vào trang đăng nhập và đăng ký.
2. Chọn đăng kí dành cho nhà tuyển dụng</t>
  </si>
  <si>
    <t>Màn hình hiển thị đầy đủ các field gồm:
- Icon: Avatar
- Button: Chọn tệp
- Icon: Tên công ty, Email, Tài khoản, Mật khẩu, Website, Số điện thoại, Địa chỉ, Quốc gia
- Textbox: Tên công ty, Email, Tài khoản, Mật khẩu, Website, Số điện thoại, Địa chỉ, Quốc gia
- Button: Chọn tệp, Đăng ký, Đăng nhập ngay</t>
  </si>
  <si>
    <t>1. Vào trang đăng nhập và đăng ký.
2. Chọn đăng kí dành cho nhà tuyển dụng.
3. Nhập thông tin vào các textbox có ở màn hình nhưng bỏ trống các trường bắt buộc: Tên công ty, số điện thoại, email)
4. Chọn nút đăng ký</t>
  </si>
  <si>
    <t>1. Vào trang đăng nhập và đăng ký.
2. Chọn đăng kí dành cho nhà tuyển dụng.
3. Nhập một tài khoản đã tồn tại
4. Chọn nút đăng ký</t>
  </si>
  <si>
    <t>Vẫn có thể tạo tài khoản đã tồn tại</t>
  </si>
  <si>
    <t>1. Vào trang đăng nhập và đăng ký.
2. Chọn đăng kí dành cho nhà tuyển dụng.
3. Tạo tài khoản với Email đã có trên hệ thống
4. Chọn nút đăng ký</t>
  </si>
  <si>
    <t>Vẫn có thể tạo email đã tồn tại</t>
  </si>
  <si>
    <t>1. Vào trang đăng nhập và đăng ký.
2. Chọn đăng kí dành cho nhà tuyển dụng.
3. Nhập thông tin vào các textbox có ở màn hình nhưng nhập sai định dạng email
4. Chọn nút đăng ký</t>
  </si>
  <si>
    <r>
      <rPr>
        <sz val="10"/>
        <color theme="1"/>
        <rFont val="Tahoma"/>
        <charset val="134"/>
      </rPr>
      <t xml:space="preserve">Hiển thị sai câu thông báo.
EV: 
</t>
    </r>
    <r>
      <rPr>
        <sz val="10"/>
        <color theme="4"/>
        <rFont val="Tahoma"/>
        <charset val="134"/>
      </rPr>
      <t>https://drive.google.com/file/d/1sKmkz-O1BaX1sZ8pUBNt5vYMTD-KGvSf/view?usp=drive_link</t>
    </r>
  </si>
  <si>
    <t>1. Vào trang đăng nhập và đăng ký.
2. Chọn đăng kí dành cho nhà tuyển dụng.
3. Tạo tài khoản với Số điện thoại đã có trên hệ thống
4. Chọn nút đăng ký</t>
  </si>
  <si>
    <t>Chưa có tài khoản</t>
  </si>
  <si>
    <t>1. Vào trang đăng nhập và đăng ký.
2. Chọn đăng kí dành cho nhà tuyển dụng.
3. Nhập vào textbox SĐT là chữ cái
4. Chọn nút đăng ký</t>
  </si>
  <si>
    <r>
      <rPr>
        <sz val="10"/>
        <color theme="1"/>
        <rFont val="Tahoma"/>
        <charset val="134"/>
      </rPr>
      <t xml:space="preserve">Đang cho phép nhập ký tự chữ
EV: </t>
    </r>
    <r>
      <rPr>
        <sz val="10"/>
        <color theme="4"/>
        <rFont val="Tahoma"/>
        <charset val="134"/>
      </rPr>
      <t>https://drive.google.com/file/d/166i0QwKtqhKaSxExwiSKvYjLZf0W8hDD/view?usp=drive_link</t>
    </r>
  </si>
  <si>
    <t>1. Vào trang đăng nhập và đăng ký.
2. Chọn đăng kí dành cho nhà tuyển dụng.
3. Nhập mật khẩu ít hơn 8 ký tự, có chữ hoa, thường, số và ký tự đặc biệt
4. Chọn nút đăng ký</t>
  </si>
  <si>
    <r>
      <rPr>
        <sz val="10"/>
        <color theme="1"/>
        <rFont val="Tahoma"/>
        <charset val="134"/>
      </rPr>
      <t xml:space="preserve">Giới hạn mật khẩu không đúng, giới hạn phải là 8
EV:
</t>
    </r>
    <r>
      <rPr>
        <sz val="10"/>
        <color theme="4"/>
        <rFont val="Tahoma"/>
        <charset val="134"/>
      </rPr>
      <t>https://drive.google.com/file/d/1rGzMjV8vpODvwTo9U4DqpKg7zRwYVfHD/view?usp=drive_link</t>
    </r>
  </si>
  <si>
    <t>1. Vào trang đăng nhập và đăng ký.
2. Chọn đăng kí dành cho nhà tuyển dụng.
3. Nhập mật khẩu thiếu chữ hoa, &gt;= 8 ký tự, có  chữ thường, số và ký tự đặc biệt
4. Chọn nút đăng ký</t>
  </si>
  <si>
    <r>
      <rPr>
        <sz val="10"/>
        <color theme="1"/>
        <rFont val="Tahoma"/>
        <charset val="134"/>
      </rPr>
      <t xml:space="preserve">Đang cho phép nhập thiếu chữ hoa:
</t>
    </r>
    <r>
      <rPr>
        <sz val="10"/>
        <color theme="4"/>
        <rFont val="Tahoma"/>
        <charset val="134"/>
      </rPr>
      <t>https://drive.google.com/file/d/1AkiS-hTyAaYdSFmzaAinnFZWuUg3LxIx/view?usp=drive_link</t>
    </r>
  </si>
  <si>
    <t>1. Vào trang đăng nhập và đăng ký.
2. Chọn đăng kí dành cho nhà tuyển dụng.
3. Nhập mật khẩu thiếu chữ thường, &gt;= 8 ký tự, có chữ hoa, số và ký tự đặc biệt
4. Chọn nút đăng ký</t>
  </si>
  <si>
    <r>
      <rPr>
        <sz val="10"/>
        <color theme="1"/>
        <rFont val="Tahoma"/>
        <charset val="134"/>
      </rPr>
      <t xml:space="preserve">Đang cho phép nhập thiếu chữ thường:
</t>
    </r>
    <r>
      <rPr>
        <sz val="10"/>
        <color theme="4"/>
        <rFont val="Tahoma"/>
        <charset val="134"/>
      </rPr>
      <t>https://drive.google.com/file/d/1AkiS-hTyAaYdSFmzaAinnFZWuUg3LxIx/view?usp=drive_link</t>
    </r>
  </si>
  <si>
    <t>1. Vào trang đăng nhập và đăng ký.
2. Chọn đăng kí dành cho nhà tuyển dụng.
3. Nhập mật khẩu thiếu chữ số , &gt;= 8 ký tự, có chữ hoa, thường và ký tự đặc biệt
4. Chọn nút đăng ký</t>
  </si>
  <si>
    <r>
      <rPr>
        <sz val="10"/>
        <color theme="1"/>
        <rFont val="Tahoma"/>
        <charset val="134"/>
      </rPr>
      <t xml:space="preserve">Đang cho phép nhập thiếu chữ số:
</t>
    </r>
    <r>
      <rPr>
        <sz val="10"/>
        <color theme="4"/>
        <rFont val="Tahoma"/>
        <charset val="134"/>
      </rPr>
      <t>https://drive.google.com/file/d/1AkiS-hTyAaYdSFmzaAinnFZWuUg3LxIx/view?usp=drive_link</t>
    </r>
  </si>
  <si>
    <t>1. Vào trang đăng nhập và đăng ký.
2. Chọn đăng kí dành cho nhà tuyển dụng.
3. Nhập mật khẩu thiếu ký tự đặc biệt, &gt;= 8 ký tự, có chữ hoa, thường và chữ số
4. Chọn nút đăng ký</t>
  </si>
  <si>
    <r>
      <rPr>
        <sz val="10"/>
        <color theme="1"/>
        <rFont val="Tahoma"/>
        <charset val="134"/>
      </rPr>
      <t xml:space="preserve">Đang cho phép nhập thiếu ký tự đặc biệt:
</t>
    </r>
    <r>
      <rPr>
        <sz val="10"/>
        <color theme="4"/>
        <rFont val="Tahoma"/>
        <charset val="134"/>
      </rPr>
      <t>https://drive.google.com/file/d/1AkiS-hTyAaYdSFmzaAinnFZWuUg3LxIx/view?usp=drive_link</t>
    </r>
  </si>
  <si>
    <t>1. Vào trang đăng nhập và đăng ký.
2. Chọn đăng kí dành cho nhà tuyển dụng.
3. Nhập thông tin có ở các field
4. Chọn nút đăng ký</t>
  </si>
  <si>
    <t>UC06</t>
  </si>
  <si>
    <t>1.1. Kiểm tra giao diện màn hình chỉnh sửa</t>
  </si>
  <si>
    <t>Kiểm tra tổng quan màn hình Chỉnh sửa thông tin</t>
  </si>
  <si>
    <t>- Truy cập vào hệ thống http://34.143.239.189/
- Bài tuyển dụng đã được tạo</t>
  </si>
  <si>
    <t xml:space="preserve">1. Vào trang Tạo thông tin tuyển dụng
2. Click vào button cây viết ở bài đăng
</t>
  </si>
  <si>
    <t>- Textbox: Màn hình hiển thị các trường thông tin của bài đăng ứng với trường tạo bài đăng
- Button: Chỉnh sửa</t>
  </si>
  <si>
    <r>
      <rPr>
        <sz val="10"/>
        <color theme="1"/>
        <rFont val="Tahoma"/>
        <charset val="134"/>
      </rPr>
      <t xml:space="preserve">Icon/tên field không rõ ràng
EV: </t>
    </r>
    <r>
      <rPr>
        <sz val="10"/>
        <color rgb="FF00B0F0"/>
        <rFont val="Tahoma"/>
        <charset val="134"/>
      </rPr>
      <t>https://drive.google.com/file/d/1Gai8tTA6_QT7E0WRX0CC5z4co0V21qHX/view?usp=drive_link</t>
    </r>
  </si>
  <si>
    <t xml:space="preserve">1. Vào trang Tạo thông tin tuyển dụng
2. Click vào button cây viết ở bài đăng
3. Nhập thông tin ở các textbox
</t>
  </si>
  <si>
    <t>- Cho phép nhập thông tin vào các textbox
- Mặc định các thông tin hiển thị ở các textbox khi tạo bài đăng
- Thông tin đúng với vị trí của các textbox</t>
  </si>
  <si>
    <t>Chưa test được vì thông tin ở các field không rõ ràng</t>
  </si>
  <si>
    <t>Kiểm tra chi tiết button Chỉnh sửa</t>
  </si>
  <si>
    <t xml:space="preserve">1. Vào trang Tạo thông tin tuyển dụng
2. Click vào button cây viết ở bài đăng
3. Nhập thông tin ở các textbox
4. Click vào button Chỉnh sửa
</t>
  </si>
  <si>
    <t>Cho phép click vào button</t>
  </si>
  <si>
    <t>1.2. Kiểm tra chức năng Chỉnh sửa</t>
  </si>
  <si>
    <t>Bỏ trống các trường bắt buộc</t>
  </si>
  <si>
    <t xml:space="preserve">1. Vào trang Tạo thông tin tuyển dụng
2. Click vào button cây viết ở bài đăng
3. Nhập thông tin ở các textbox nhưng bỏ trống các trường bắt buộc
4. Click vào button Chỉnh sửa
</t>
  </si>
  <si>
    <t>Sửa thông tin thất bại và hiển thị thông báo “Có thể bạn nhập chưa đầy đủ hoặc sai thông tin”</t>
  </si>
  <si>
    <t>Bỏ trống các trường không bắt buộc</t>
  </si>
  <si>
    <t xml:space="preserve">1. Vào trang Tạo thông tin tuyển dụng
2. Click vào button cây viết ở bài đăng
3. Nhập thông tin ở các trường bắt buộc và bỏ trống các textbox còn lại
4. Click vào button Chỉnh sửa
</t>
  </si>
  <si>
    <t xml:space="preserve">- Chỉnh sửa thành công và hiển thị thông báo “Sửa thông tin thành công”
</t>
  </si>
  <si>
    <t>Nhập đầy đủ các textbox</t>
  </si>
  <si>
    <t xml:space="preserve">1. Vào trang Tạo thông tin tuyển dụng
2. Click vào button cây viết ở bài đăng
3. Nhập đầy đủ thông các textbox
4. Click vào button Chỉnh sửa
</t>
  </si>
  <si>
    <r>
      <rPr>
        <sz val="10"/>
        <color theme="1"/>
        <rFont val="Tahoma"/>
        <charset val="134"/>
      </rPr>
      <t xml:space="preserve">Một số field sau khi chỉnh sửa không được lưu
EV: 
</t>
    </r>
    <r>
      <rPr>
        <sz val="10"/>
        <color rgb="FF00B0F0"/>
        <rFont val="Tahoma"/>
        <charset val="134"/>
      </rPr>
      <t>https://drive.google.com/file/d/18mGEMclO5z7i1m1icszJX2MbDYCM2Mqd/view?usp=drive_link</t>
    </r>
  </si>
  <si>
    <t>1.3. Kiểm tra chức năng Xóa bài đăng</t>
  </si>
  <si>
    <t>Kiểm tra chức năng xóa bài đăng</t>
  </si>
  <si>
    <t xml:space="preserve">1. Vào trang Tạo thông tin tuyển dụng
2. Click vào button xóa ở bài đăng
</t>
  </si>
  <si>
    <t>Xóa thành công và hiển thị thông báo “Tin đã được xóa thành công”</t>
  </si>
  <si>
    <r>
      <rPr>
        <sz val="10"/>
        <color theme="1"/>
        <rFont val="Tahoma"/>
        <charset val="134"/>
      </rPr>
      <t xml:space="preserve">Sau khi xóa, bài đăng ko mất ngay mà phải reload lại trang
</t>
    </r>
    <r>
      <rPr>
        <sz val="10"/>
        <color rgb="FF00B0F0"/>
        <rFont val="Tahoma"/>
        <charset val="134"/>
      </rPr>
      <t>EV:https://drive.google.com/file/d/1PNc_J1T9vs7rbCIJVUC5t629eFX_cgui/view?usp=drive_link</t>
    </r>
  </si>
  <si>
    <t>UC03</t>
  </si>
  <si>
    <t>Kiểm tra tổng quan màn hình Đăng nhập</t>
  </si>
  <si>
    <t>- Truy cập vào hệ thống http://34.143.239.189/
- User đã đăng ký tài khoản</t>
  </si>
  <si>
    <t xml:space="preserve">1. Vào trang đăng nhập và đăng ký.
</t>
  </si>
  <si>
    <t>Màn hình hiển thị đầy đủ các field gồm:
- Ứng viên:
  + Button: Đăng ký ứng viên, Đăng nhập
  + Icon: Tài khoản, mật khẩu
  + Textbox: Tài khoản, mật khẩu
- Nhà tuyển dụng:
  + Button: Đăng ký ứng viên, Đăng nhập
  + Icon: Tài khoản, mật khẩu
  + Textbox: Tài khoản, mật khẩu
- Nhà quản trị:
  + Button: Đăng ký ứng viên, Đăng nhập
  + Icon: Tài khoản, mật khẩu
  + Textbox: Tài khoản, mật khẩu</t>
  </si>
  <si>
    <t>Kiểm tra chi tiết các button của Ứng viên</t>
  </si>
  <si>
    <t>Kiểm tra chi tiết các textbox của Ứng viên</t>
  </si>
  <si>
    <t>Kiểm tra các Icon của Ứng viên</t>
  </si>
  <si>
    <t>Kiểm tra chi tiết các button của Nhà tuyển dụng</t>
  </si>
  <si>
    <t>Kiểm tra chi tiết các textbox của Nhà tuyển dụng</t>
  </si>
  <si>
    <t>Kiểm tra các Icon của Nhà tuyển dụng</t>
  </si>
  <si>
    <t>Kiểm tra chi tiết các button của Nhà quản trị</t>
  </si>
  <si>
    <t>Chưa có màn hình</t>
  </si>
  <si>
    <t>Kiểm tra chi tiết các textbox của Nhà quản trị</t>
  </si>
  <si>
    <t>Kiểm tra các Icon của Nhà quản trị</t>
  </si>
  <si>
    <t>1.2. Kiểm tra chức năng Đăng nhập ứng viên</t>
  </si>
  <si>
    <t>Bỏ trống Tài khoản</t>
  </si>
  <si>
    <t>1. Vào trang đăng nhập và đăng ký.
2. Nhập Password và bỏ trống Tài khoản cho ứng viên
3. Bấm nút Đăng nhập</t>
  </si>
  <si>
    <t>Đăng nhập thất bại và hiển thị thông báo “Tài khoản hoặc mật khẩu không hợp lệ”</t>
  </si>
  <si>
    <t>Nhập tài khoản không tồn tại</t>
  </si>
  <si>
    <t xml:space="preserve">- Truy cập vào hệ thống http://34.143.239.189/
</t>
  </si>
  <si>
    <t>1. Vào trang đăng nhập và đăng ký.
2. Nhập tài khoản chưa từng được đăng ký và Password
3. Bấm nút Đăng nhập</t>
  </si>
  <si>
    <t>Đăng nhập thất bại và hiển thị thông báo “Tài khoản không tồn tại”</t>
  </si>
  <si>
    <t>Bỏ trống password</t>
  </si>
  <si>
    <t>1. Vào trang đăng nhập và đăng ký.
2. Nhập đúng tài khoản và bỏ trống password
3. Bấm nút Đăng nhập</t>
  </si>
  <si>
    <r>
      <rPr>
        <sz val="10"/>
        <color theme="1"/>
        <rFont val="Tahoma"/>
        <charset val="134"/>
      </rPr>
      <t xml:space="preserve">Đang cho phép đăng nhập khi bỏ trống mật khẩu
EV: </t>
    </r>
    <r>
      <rPr>
        <sz val="10"/>
        <color theme="4"/>
        <rFont val="Tahoma"/>
        <charset val="134"/>
      </rPr>
      <t>https://drive.google.com/file/d/19ypJ2tZzglZAPtMBmcVJD0675kWaUYrZ/view?usp=drive_link</t>
    </r>
  </si>
  <si>
    <t>Nhập sai định dạng password</t>
  </si>
  <si>
    <t>1. Vào trang đăng nhập và đăng ký.
2. Nhập đúng tài khoản
3. Nhập password ít hơn 8 ký tự
4. Bấm nút Đăng nhập</t>
  </si>
  <si>
    <t>Đăng nhập không thành công và hiển thị thông báo “Mật khẩu không hợp lệ, mật khẩu phải tối thiểu 8 kí tự, bao gồm chữ hoa, thường, số và kí tự đặc biệt”</t>
  </si>
  <si>
    <r>
      <rPr>
        <sz val="10"/>
        <color theme="1"/>
        <rFont val="Tahoma"/>
        <charset val="134"/>
      </rPr>
      <t xml:space="preserve">Đang cho phép đăng nhập vào hệ thống
EV: </t>
    </r>
    <r>
      <rPr>
        <sz val="10"/>
        <color theme="4"/>
        <rFont val="Tahoma"/>
        <charset val="134"/>
      </rPr>
      <t>https://drive.google.com/file/d/1h-wCW7b78BLiKHfnXgaUNKW_PRXHmjf0/view?usp=drive_link</t>
    </r>
  </si>
  <si>
    <t>1. Vào trang đăng nhập và đăng ký.
2. Nhập đúng tài khoản
3. Nhập password thiếu chữ hoa nhưng &gt;= 8 ký tự, chữ thường, số và kí tự đặc biệt
4. Bấm nút Đăng nhập</t>
  </si>
  <si>
    <r>
      <rPr>
        <sz val="10"/>
        <color theme="1"/>
        <rFont val="Tahoma"/>
        <charset val="134"/>
      </rPr>
      <t xml:space="preserve">Đang cho phép đăng nhập vào hệ thống
EV:
</t>
    </r>
    <r>
      <rPr>
        <sz val="10"/>
        <color theme="4"/>
        <rFont val="Tahoma"/>
        <charset val="134"/>
      </rPr>
      <t>https://drive.google.com/file/d/1swAQuKDkMv5N6JiBh9XJ0T3Uxminz4RR/view?usp=drive_link</t>
    </r>
  </si>
  <si>
    <t>1. Vào trang đăng nhập và đăng ký.
2. Nhập đúng tài khoản
3. Nhập password thiếu chữ thường nhưng &gt;= 8 ký tự, chữ hoa, số và kí tự đặc biệt
4. Bấm nút Đăng nhập</t>
  </si>
  <si>
    <r>
      <rPr>
        <sz val="10"/>
        <color theme="1"/>
        <rFont val="Tahoma"/>
        <charset val="134"/>
      </rPr>
      <t xml:space="preserve">Đang cho phép đăng nhập vào hệ thống
EV:
</t>
    </r>
    <r>
      <rPr>
        <sz val="10"/>
        <color theme="4"/>
        <rFont val="Tahoma"/>
        <charset val="134"/>
      </rPr>
      <t>https://drive.google.com/file/d/1DRp5BszKpyEBFZi4GQfhb5Qxt_ohn63U/view?usp=drive_link</t>
    </r>
  </si>
  <si>
    <t>1. Vào trang đăng nhập và đăng ký.
2. Nhập đúng tài khoản
3. Nhập password thiếu số nhưng &gt;= 8 ký tự, chữ hoa, chữ thường và kí tự đặc biệt
4. Bấm nút Đăng nhập</t>
  </si>
  <si>
    <r>
      <rPr>
        <sz val="10"/>
        <color theme="1"/>
        <rFont val="Tahoma"/>
        <charset val="134"/>
      </rPr>
      <t xml:space="preserve">Đang cho phép đăng nhập vào hệ thống
EV:
</t>
    </r>
    <r>
      <rPr>
        <sz val="10"/>
        <color theme="4"/>
        <rFont val="Tahoma"/>
        <charset val="134"/>
      </rPr>
      <t>https://drive.google.com/file/d/1hUV0ykvJY_Ltk4SsSZWumT7qPed3M1va/view?usp=drive_link</t>
    </r>
  </si>
  <si>
    <t>1. Vào trang đăng nhập và đăng ký.
2. Nhập đúng tài khoản
3. Nhập password thiếu kí tự đặc biệt nhưng &gt;= 8 ký tự, chữ hoa, chữ thường và số
4. Bấm nút Đăng nhập</t>
  </si>
  <si>
    <r>
      <rPr>
        <sz val="10"/>
        <color theme="1"/>
        <rFont val="Tahoma"/>
        <charset val="134"/>
      </rPr>
      <t xml:space="preserve">Đang cho phép đăng nhập vào hệ thống
EV:
</t>
    </r>
    <r>
      <rPr>
        <sz val="10"/>
        <color theme="4"/>
        <rFont val="Tahoma"/>
        <charset val="134"/>
      </rPr>
      <t>https://drive.google.com/file/d/1QtpnfPR_U_l5AIsQK0n_7BCBgucGM7QZ/view?usp=drive_link</t>
    </r>
  </si>
  <si>
    <t>Nhập sai password</t>
  </si>
  <si>
    <t>1. Vào trang đăng nhập và đăng ký.
2. Nhập đúng tài khoản
3. Nhập sai password
4. Bấm nút Đăng nhập</t>
  </si>
  <si>
    <t>Đăng nhập không thành công và hiển thị thông báo “Đăng nhập thành công”</t>
  </si>
  <si>
    <r>
      <rPr>
        <sz val="10"/>
        <color theme="1"/>
        <rFont val="Tahoma"/>
        <charset val="134"/>
      </rPr>
      <t xml:space="preserve">Đang cho phép đăng nhập
EV:
</t>
    </r>
    <r>
      <rPr>
        <sz val="10"/>
        <color theme="4"/>
        <rFont val="Tahoma"/>
        <charset val="134"/>
      </rPr>
      <t>https://drive.google.com/file/d/1rw38kN3U6ys8Kj-siYZ_zxF0pu1UGTy1/view?usp=drive_link</t>
    </r>
  </si>
  <si>
    <t>Nhập đúng Tài khoản và Password</t>
  </si>
  <si>
    <t>1. Vào trang đăng nhập và đăng ký.
2. Nhập đúng tài khoản và password
3. Bấm nút Đăng nhập</t>
  </si>
  <si>
    <t>Hiện  popup thông báo đăng nhập thành công</t>
  </si>
  <si>
    <t>1.3. Kiểm tra chức năng Đăng nhập Nhà tuyển dụng</t>
  </si>
  <si>
    <t>1. Vào trang đăng nhập và đăng ký.
2. Nhập Password và bỏ trống Tài khoản cho Nhà tuyển dụng
3. Bấm nút Đăng nhập</t>
  </si>
  <si>
    <r>
      <rPr>
        <sz val="10"/>
        <color theme="1"/>
        <rFont val="Tahoma"/>
        <charset val="134"/>
      </rPr>
      <t xml:space="preserve">Đang cho phép đăng nhập
EV: </t>
    </r>
    <r>
      <rPr>
        <sz val="10"/>
        <color theme="4"/>
        <rFont val="Tahoma"/>
        <charset val="134"/>
      </rPr>
      <t>https://drive.google.com/file/d/13EfGpvy6sct5B6tOmA7_dY26448o0_40/view?usp=drive_link</t>
    </r>
  </si>
  <si>
    <r>
      <rPr>
        <sz val="10"/>
        <color theme="1"/>
        <rFont val="Tahoma"/>
        <charset val="134"/>
      </rPr>
      <t xml:space="preserve">Đang cho phép đăng nhập
EV: </t>
    </r>
    <r>
      <rPr>
        <sz val="10"/>
        <color theme="4"/>
        <rFont val="Tahoma"/>
        <charset val="134"/>
      </rPr>
      <t>https://drive.google.com/file/d/1GqX_-F-Q9K4TufDjRqYLcsWi65Uhd1eV/view?usp=drive_link</t>
    </r>
  </si>
  <si>
    <r>
      <rPr>
        <sz val="10"/>
        <color theme="1"/>
        <rFont val="Tahoma"/>
        <charset val="134"/>
      </rPr>
      <t>Đang cho phép đăng nhập 
EV:</t>
    </r>
    <r>
      <rPr>
        <sz val="10"/>
        <color theme="4"/>
        <rFont val="Tahoma"/>
        <charset val="134"/>
      </rPr>
      <t>https://drive.google.com/file/d/1dEkF2PndAFKi-4EVolThPXzvj6yVHl6M/view?usp=drive_link</t>
    </r>
  </si>
  <si>
    <r>
      <rPr>
        <sz val="10"/>
        <color theme="1"/>
        <rFont val="Tahoma"/>
        <charset val="134"/>
      </rPr>
      <t xml:space="preserve">Đang cho phép đăng nhập
EV: </t>
    </r>
    <r>
      <rPr>
        <sz val="10"/>
        <color theme="4"/>
        <rFont val="Tahoma"/>
        <charset val="134"/>
      </rPr>
      <t>https://drive.google.com/file/d/12Yi8UNrZW-wERJuGWXxib86NNIGf7a-O/view?usp=drive_link</t>
    </r>
  </si>
  <si>
    <r>
      <rPr>
        <sz val="10"/>
        <color theme="1"/>
        <rFont val="Tahoma"/>
        <charset val="134"/>
      </rPr>
      <t xml:space="preserve">Đang cho phép đăng nhập
EV: </t>
    </r>
    <r>
      <rPr>
        <sz val="10"/>
        <color theme="4"/>
        <rFont val="Tahoma"/>
        <charset val="134"/>
      </rPr>
      <t>https://drive.google.com/file/d/1xChYkdv1fXz-LQ_K-a4ezgSb4sbHzZnM/view?usp=drive_link</t>
    </r>
  </si>
  <si>
    <t>Đăng nhập không thành công và hiển thị thông báo “Đăng nhập không thành công”</t>
  </si>
  <si>
    <r>
      <rPr>
        <sz val="10"/>
        <color theme="1"/>
        <rFont val="Tahoma"/>
        <charset val="134"/>
      </rPr>
      <t xml:space="preserve">Đang cho phép đăng nhập
EV: </t>
    </r>
    <r>
      <rPr>
        <sz val="10"/>
        <color theme="4"/>
        <rFont val="Tahoma"/>
        <charset val="134"/>
      </rPr>
      <t>https://drive.google.com/file/d/1Hbvgn6jyb-uRBEPcOnjTyTqu-D10ppyC/view?usp=drive_link</t>
    </r>
  </si>
  <si>
    <t>1.4. Kiểm tra chức năng Đăng nhập Nhà quản trị</t>
  </si>
  <si>
    <t>1. Vào trang đăng nhập và đăng ký.
2. Nhập Password và bỏ trống Tài khoản cho Nhà quản trị
3. Bấm nút Đăng nhập</t>
  </si>
  <si>
    <t>Không có màn hình</t>
  </si>
  <si>
    <t>Untested</t>
  </si>
  <si>
    <t>UC04</t>
  </si>
  <si>
    <t>1.2. Kiểm tra chức năng Đăng xuất Ứng viên</t>
  </si>
  <si>
    <t>Kiểm tra chức năng đăng xuất</t>
  </si>
  <si>
    <t>- Truy cập vào hệ thống http://34.143.239.189/
- User đăng nhập vào hê thống</t>
  </si>
  <si>
    <t xml:space="preserve">1. Đăng nhập vào hệ thống
2. Đăng xuất tài khoản
</t>
  </si>
  <si>
    <t>Quay lại màn hình đăng nhập và đăng ký</t>
  </si>
  <si>
    <t>1.2. Kiểm tra chức năng Đăng xuất Nhà tuyển dụng</t>
  </si>
  <si>
    <t>1.2. Kiểm tra chức năng Đăng xuất Nhà quản trị</t>
  </si>
  <si>
    <t>UC05</t>
  </si>
  <si>
    <t>Kiểm tra tổng quan màn hình Đăng thông tin tuyển dụng</t>
  </si>
  <si>
    <t xml:space="preserve">1. Vào trang Tạo thông tin tuyển dụng
</t>
  </si>
  <si>
    <t>Màn hình hiển thị đầy đủ các field gồm:
- Textbox: Tên công việc, Kinh nghiệm, Học vấn, Địa chỉ, Mô tả công việc, Yêu cầu, Lương, Trình độ
- Button: Tạo</t>
  </si>
  <si>
    <t xml:space="preserve">1. Vào trang Tạo thông tin tuyển dụng
2. Nhập thông tin vào các textbox
</t>
  </si>
  <si>
    <t>- Cho phép nhập thông tin vào các textbox
- Mặc định watermark ứng với các field</t>
  </si>
  <si>
    <t>Kiểm tra textbox mức lương</t>
  </si>
  <si>
    <t xml:space="preserve">1. Vào trang Tạo thông tin tuyển dụng
2. Nhập thông tin vào textbox mức lương
</t>
  </si>
  <si>
    <t>Cho phép nhập kiểu dữ liệu số</t>
  </si>
  <si>
    <t>Kiểm tra chi tiết button Tạo</t>
  </si>
  <si>
    <t xml:space="preserve">1. Vào trang Tạo thông tin tuyển dụng
2. Click vào button
</t>
  </si>
  <si>
    <t>1.2. Kiểm tra chức năng Tạo thông tin tuyển dụng</t>
  </si>
  <si>
    <t xml:space="preserve">1. Vào trang Tạo thông tin tuyển dụng
2. Nhập thông tin vào các textbox nhưng bỏ trống các trường bắt buộc gồm (tên công việc, mô tả công việc, yêu cầu, mức lương, địa chỉ)
3. Bấm Tạo
</t>
  </si>
  <si>
    <t>Tạo công việc thấ bại và hiển thị thông báo “Có thể bạn nhập chưa đầy đủ hoặc sai thông tin”</t>
  </si>
  <si>
    <t>Bỏ trống các field không bắt buộc</t>
  </si>
  <si>
    <t>1. Vào trang Tạo thông tin tuyển dụng
2. Nhập thông tin vào các textbox bắt buộc gồm (tên công việc, mô tả công việc, yêu cầu, mức lương, địa chỉ) và bỏ trống các field còn lại
3. Bấm Tạo</t>
  </si>
  <si>
    <t>- Đăng bài thành công và hiển thị thông báo “Tạo công việc thành công”
- Hệ thống chuyển về trang chủ, hiển thị tin lên đầu danh sách là tin mới nhất</t>
  </si>
  <si>
    <r>
      <rPr>
        <sz val="10"/>
        <color theme="1"/>
        <rFont val="Tahoma"/>
        <charset val="134"/>
      </rPr>
      <t xml:space="preserve">Các field không bắt buộc nhưng lại bắt buộc nhập
EV: </t>
    </r>
    <r>
      <rPr>
        <sz val="10"/>
        <color rgb="FF00B0F0"/>
        <rFont val="Tahoma"/>
        <charset val="134"/>
      </rPr>
      <t>https://drive.google.com/file/d/1YoY9AIFcMT52uaFrtkkwH34edDRbwDtv/view?usp=drive_link</t>
    </r>
  </si>
  <si>
    <t>1. Vào trang Tạo thông tin tuyển dụng
2. Nhập thông tin ở tất cả các texbox
3. Bấm Tạo</t>
  </si>
  <si>
    <t>UC07</t>
  </si>
  <si>
    <t xml:space="preserve">1.1. Kiểm tra giao diện </t>
  </si>
  <si>
    <t>Kiểm tra tổng quan giao diện xem ứng viên</t>
  </si>
  <si>
    <t>1. Nhà tuyển dụng vào trang nhà tuyển dụng.
2. Vào mục xem ứng viên</t>
  </si>
  <si>
    <t>Hệ thống hiển thị danh sách ứng viên đã ứng tuyển</t>
  </si>
  <si>
    <t>21/04/2024</t>
  </si>
  <si>
    <t>Kiểm tra chức năng xem chi tiết ứng viên</t>
  </si>
  <si>
    <t>1. Nhà tuyển dụng vào trang nhà tuyển dụng.
2. Vào mục xem ứng viên
3. Click vào button Xem chi tiết ứng viên</t>
  </si>
  <si>
    <t>Hệ thống chuyển đến trang chi tiết hồ sơ của ứng viên.</t>
  </si>
  <si>
    <r>
      <rPr>
        <sz val="10"/>
        <color theme="1"/>
        <rFont val="Tahoma"/>
        <charset val="134"/>
      </rPr>
      <t xml:space="preserve">Không thể click vào button xem hồ sơ ứng viên
EV: </t>
    </r>
    <r>
      <rPr>
        <sz val="10"/>
        <color theme="4"/>
        <rFont val="Tahoma"/>
        <charset val="134"/>
      </rPr>
      <t>https://drive.google.com/file/d/1dE5MnOrfdkUWOn0plfCUkZlO94rTgwKc/view?usp=drive_link</t>
    </r>
  </si>
  <si>
    <t>UC08</t>
  </si>
  <si>
    <t>Kiểm tra tổng quan giao diện ứng tuyển công việc</t>
  </si>
  <si>
    <t xml:space="preserve">1. Ứng viên vào mục "Tìm việc"
</t>
  </si>
  <si>
    <t>Hệ thống hiển thị đầy đủ các trường gồm:
- Tìm kiếm theo tên nhà tuyển dụng
- Tìm kiếm theo lĩnh vực
- Lọc theo thời hạn nộp hồ sơ
- Tìm kiếm theo vị trí.
- Button: Tìm kiếm</t>
  </si>
  <si>
    <r>
      <rPr>
        <sz val="10"/>
        <color theme="1"/>
        <rFont val="Tahoma"/>
        <charset val="134"/>
      </rPr>
      <t xml:space="preserve">Lỗi toàn bộ màn hình
EV: </t>
    </r>
    <r>
      <rPr>
        <sz val="10"/>
        <color theme="4"/>
        <rFont val="Tahoma"/>
        <charset val="134"/>
      </rPr>
      <t>https://drive.google.com/file/d/1dX5oLTWdXBTF5-arbtQp1kGrLOH8BzKb/view?usp=drive_link</t>
    </r>
  </si>
  <si>
    <t>Kiểm tra chức năng tìm kiếm</t>
  </si>
  <si>
    <t xml:space="preserve">1. Ứng viên vào mục "Tìm việc"
2. Ứng viên nhập thông tin vào các bộ lọc tìm kiếm
3. Bấm nút Tìm kiếm
</t>
  </si>
  <si>
    <t>Hệ thống sẽ hiện thị danh sách các tin tuyển dụng kèm theo lựa chọn cho ứng viên bao gồm : “Chia sẻ ”, “Ứng tuyển ngay”, “xem chi tiết”</t>
  </si>
  <si>
    <t>Không có bộ lọc tìm kiếm, chờ fix [UC08-1]</t>
  </si>
  <si>
    <t>Kiểm tra chức năng xem chi tiết mô tả công việc</t>
  </si>
  <si>
    <t xml:space="preserve">1. Ứng viên vào mục "Tìm việc"
2. Ứng viên nhập thông tin vào các bộ lọc tìm kiếm
3. Bấm nút Tìm kiếm
4. Chọn "Xem chi tiết"
</t>
  </si>
  <si>
    <t>Hệ thống chuyển sang trang mô tả chi tiết về công việc</t>
  </si>
  <si>
    <t>Kiểm tra chức năng ứng tuyển</t>
  </si>
  <si>
    <t xml:space="preserve">1. Ứng viên vào mục "Tìm việc"
2. Ứng viên nhập thông tin vào các bộ lọc tìm kiếm
3. Bấm nút Tìm kiếm
4. Chọn "Xem chi tiết"
5. Click vào ứng tuyển
</t>
  </si>
  <si>
    <t>Hệ thống thông báo ứng tuyển thành công</t>
  </si>
  <si>
    <r>
      <rPr>
        <sz val="10"/>
        <color theme="1"/>
        <rFont val="Tahoma"/>
        <charset val="134"/>
      </rPr>
      <t xml:space="preserve">Lỗi không thể ứng tuyển
EV: </t>
    </r>
    <r>
      <rPr>
        <sz val="10"/>
        <color theme="4"/>
        <rFont val="Tahoma"/>
        <charset val="134"/>
      </rPr>
      <t>https://drive.google.com/file/d/1J3k0W3jXEwXriEWAdynV1912B11MN1D4/view?usp=drive_link</t>
    </r>
  </si>
  <si>
    <t>Kiểm tra chức năng “Ứng tuyển ngay” trên đề mục của tin tuyển dụng.</t>
  </si>
  <si>
    <t xml:space="preserve">1. Ứng viên vào mục "Tìm việc"
2. Click vào "Ứng tuyển ngay"
</t>
  </si>
  <si>
    <t>Kiểm tra chức năng Chia sẻ</t>
  </si>
  <si>
    <t xml:space="preserve">1. Ứng viên vào mục "Tìm việc"
2. Ứng viên nhập thông tin vào các bộ lọc tìm kiếm
3. Chọn "Chia sẻ'
</t>
  </si>
  <si>
    <t>Hệ thống hiển thị đường link liên kết ra các mạng xã hội.</t>
  </si>
  <si>
    <r>
      <rPr>
        <sz val="10"/>
        <color theme="1"/>
        <rFont val="Tahoma"/>
        <charset val="134"/>
      </rPr>
      <t xml:space="preserve">Không thể click chia sẻ
EV: </t>
    </r>
    <r>
      <rPr>
        <sz val="10"/>
        <color theme="4"/>
        <rFont val="Tahoma"/>
        <charset val="134"/>
      </rPr>
      <t>https://drive.google.com/file/d/1CgT2pryAtdUkssQeIf3R_7st2y0trrWy/view?usp=drive_link</t>
    </r>
  </si>
  <si>
    <t>UC09</t>
  </si>
  <si>
    <t>Kiểm tra tổng quan giao diện chỉnh sửa</t>
  </si>
  <si>
    <t xml:space="preserve">1. Ứng viên vào mục “Thông tin cá nhân”
2. Ứng viên chọn mục “Hồ sơ”
3. Ứng viên chọn chỉnh sửa .
</t>
  </si>
  <si>
    <t>Hiển thị danh sách các trường thông tin hiên tại của ứng viên.</t>
  </si>
  <si>
    <t>Kiểm tra chi tiết các textbox ở màn hình</t>
  </si>
  <si>
    <t xml:space="preserve">1. Ứng viên vào mục “Thông tin cá nhân”
2. Ứng viên chọn mục “Hồ sơ”
3. Ứng viên chọn chỉnh sửa.
4. Nhập thông tin vào các textbox
</t>
  </si>
  <si>
    <t>Cho phép nhập thông tin</t>
  </si>
  <si>
    <t>Kiểm tra chi tiết button Chỉnh sủa</t>
  </si>
  <si>
    <t xml:space="preserve">1. Ứng viên vào mục “Thông tin cá nhân”
2. Ứng viên chọn mục “Hồ sơ”
3. Ứng viên chọn chỉnh sửa.
4. Click vào nút chỉnh sửa
</t>
  </si>
  <si>
    <t>Kiểm tra chi tiết radio button Chỉnh sủa</t>
  </si>
  <si>
    <t xml:space="preserve">1. Ứng viên vào mục “Thông tin cá nhân”
2. Ứng viên chọn mục “Hồ sơ”
3. Ứng viên chọn chỉnh sửa.
4. Click vào radio button
</t>
  </si>
  <si>
    <r>
      <rPr>
        <sz val="10"/>
        <color theme="1"/>
        <rFont val="Tahoma"/>
        <charset val="134"/>
      </rPr>
      <t xml:space="preserve">Hiện tại ko thể click đổi radio button
EV: </t>
    </r>
    <r>
      <rPr>
        <sz val="10"/>
        <color theme="4"/>
        <rFont val="Tahoma"/>
        <charset val="134"/>
      </rPr>
      <t>https://drive.google.com/file/d/1noibG1QkQOF2NlkWE2pbSAbLv4XySI-h/view?usp=drive_link</t>
    </r>
  </si>
  <si>
    <t>Kiểm tra chức năng chỉnh sửa</t>
  </si>
  <si>
    <t xml:space="preserve">1. Ứng viên vào mục “Thông tin cá nhân”
2. Ứng viên chọn mục “Hồ sơ”
3. Ứng viên chọn chỉnh sửa.
4. Chỉnh sửa các thông tin ở textbox
5. Nhấn nút Chỉnh sủa
</t>
  </si>
  <si>
    <t>Chỉnh sửa thành công và hiển thị thông báo “Sửa thông tin thành công”</t>
  </si>
  <si>
    <t xml:space="preserve">1. Ứng viên vào mục “Thông tin cá nhân”
2. Ứng viên chọn mục “Hồ sơ”
3. Ứng viên chọn chỉnh sửa.
4. Chỉnh sửa các thông tin ở textbox và bỏ trống các trường bắt buộc
5. Nhấn nút Chỉnh sủa
</t>
  </si>
  <si>
    <t>Chỉnh sửa không thành công và hiển thị thông báo “Sửa thông tin thất bại”</t>
  </si>
  <si>
    <r>
      <rPr>
        <sz val="10"/>
        <color theme="1"/>
        <rFont val="Tahoma"/>
        <charset val="134"/>
      </rPr>
      <t xml:space="preserve">Không hiển thị thông báo khi bỏ trống các trường bắt buộc
EV: 
</t>
    </r>
    <r>
      <rPr>
        <sz val="10"/>
        <color theme="4"/>
        <rFont val="Tahoma"/>
        <charset val="134"/>
      </rPr>
      <t>https://drive.google.com/file/d/1-EC7YZSaAEKIMzxyNW0mVEZ57SQ7PMWr/view?usp=drive_link</t>
    </r>
  </si>
  <si>
    <t>UC10</t>
  </si>
  <si>
    <t>Kiểm tra tổng quan giao diện đăng bài</t>
  </si>
  <si>
    <t xml:space="preserve">1. Ứng viên vào mục “Thông tin cá nhân”
2. Ứng viên chọn mục “Đăng bài”
</t>
  </si>
  <si>
    <t>Hiển thị trang đăng bài với các nội dung bắt buộc sau: Tên công việc, Kinh nghiệm, Học vấn</t>
  </si>
  <si>
    <t>Kiểm tra các trường điền thông tin</t>
  </si>
  <si>
    <t xml:space="preserve">1. Ứng viên vào mục “Thông tin cá nhân”
2. Ứng viên chọn mục “Đăng bài”
3. Nhập thông tin ở các textbox
</t>
  </si>
  <si>
    <t xml:space="preserve">1. Ứng viên vào mục “Thông tin cá nhân”
2. Ứng viên chọn mục “Đăng bài”
3. Click vào button Tạo
</t>
  </si>
  <si>
    <t xml:space="preserve">1. Ứng viên vào mục “Thông tin cá nhân”
2. Ứng viên chọn mục “Đăng bài”
3. Nhập thông tin ở các textbox nhưng bỏ trống các trường bắt buộc
4. Bấm Tạo
</t>
  </si>
  <si>
    <t>Đăng bài không thành công và hiển thị thông báo ““Không thể tạo bài viết””</t>
  </si>
  <si>
    <r>
      <rPr>
        <sz val="10"/>
        <color theme="1"/>
        <rFont val="Tahoma"/>
        <charset val="134"/>
      </rPr>
      <t xml:space="preserve">Hiện tại không nhập thông tin vẫn có thể tạo bài đăng
EV: </t>
    </r>
    <r>
      <rPr>
        <sz val="10"/>
        <color theme="4"/>
        <rFont val="Tahoma"/>
        <charset val="134"/>
      </rPr>
      <t>https://drive.google.com/file/d/1bI0s0cBtLp1-o7CuW8Bw0BEQ-HfPtZuz/view?usp=drive_link</t>
    </r>
  </si>
  <si>
    <t>Nhập đầy đủ thông tin vào các textbox</t>
  </si>
  <si>
    <t>1. Ứng viên vào mục “Thông tin cá nhân”
2. Ứng viên chọn mục “Đăng bài”
3. Nhập đầy đủ thông tin ở các textbox 
4. Bấm Tạo</t>
  </si>
  <si>
    <t>Đăng bài thành công và hiển thị thông báo “Bài viết được tạo thành công”</t>
  </si>
  <si>
    <t>Module Code</t>
  </si>
  <si>
    <t>Function List</t>
  </si>
  <si>
    <t>Manager</t>
  </si>
  <si>
    <t>Employee</t>
  </si>
  <si>
    <t>Director</t>
  </si>
  <si>
    <t>Internship</t>
  </si>
  <si>
    <t>Admin</t>
  </si>
  <si>
    <t>Common Role</t>
  </si>
  <si>
    <t>Y*</t>
  </si>
  <si>
    <t>N</t>
  </si>
  <si>
    <t>Y</t>
  </si>
  <si>
    <t>Others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</si>
</sst>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yy"/>
    <numFmt numFmtId="179" formatCode="#,##0.0"/>
  </numFmts>
  <fonts count="47">
    <font>
      <sz val="11"/>
      <color theme="1"/>
      <name val="Calibri"/>
      <charset val="134"/>
      <scheme val="minor"/>
    </font>
    <font>
      <sz val="11"/>
      <color theme="1"/>
      <name val="Calibri"/>
      <charset val="134"/>
    </font>
    <font>
      <sz val="10"/>
      <color theme="1"/>
      <name val="Calibri"/>
      <charset val="134"/>
    </font>
    <font>
      <b/>
      <sz val="10"/>
      <color theme="1"/>
      <name val="Calibri"/>
      <charset val="134"/>
    </font>
    <font>
      <sz val="10"/>
      <color rgb="FF000000"/>
      <name val="Calibri"/>
      <charset val="134"/>
    </font>
    <font>
      <i/>
      <sz val="10"/>
      <color rgb="FF008000"/>
      <name val="Calibri"/>
      <charset val="134"/>
    </font>
    <font>
      <b/>
      <sz val="10"/>
      <color rgb="FF000000"/>
      <name val="Calibri"/>
      <charset val="134"/>
    </font>
    <font>
      <b/>
      <sz val="11"/>
      <color theme="0"/>
      <name val="Calibri"/>
      <charset val="134"/>
    </font>
    <font>
      <b/>
      <sz val="10"/>
      <color theme="1"/>
      <name val="Tahoma"/>
      <charset val="134"/>
    </font>
    <font>
      <sz val="10"/>
      <color theme="1"/>
      <name val="Tahoma"/>
      <charset val="134"/>
    </font>
    <font>
      <sz val="11"/>
      <name val="Calibri"/>
      <charset val="134"/>
      <scheme val="minor"/>
    </font>
    <font>
      <i/>
      <sz val="10"/>
      <color rgb="FF008000"/>
      <name val="Tahoma"/>
      <charset val="134"/>
    </font>
    <font>
      <i/>
      <sz val="10"/>
      <color rgb="FFFF0000"/>
      <name val="Tahoma"/>
      <charset val="134"/>
    </font>
    <font>
      <b/>
      <sz val="10"/>
      <color rgb="FF000000"/>
      <name val="Tahoma"/>
      <charset val="134"/>
    </font>
    <font>
      <sz val="10"/>
      <color rgb="FF000000"/>
      <name val="Tahoma"/>
      <charset val="134"/>
    </font>
    <font>
      <b/>
      <sz val="10"/>
      <color rgb="FFFF0000"/>
      <name val="Tahoma"/>
      <charset val="134"/>
    </font>
    <font>
      <b/>
      <sz val="10"/>
      <color rgb="FFFFFFFF"/>
      <name val="Tahoma"/>
      <charset val="134"/>
    </font>
    <font>
      <sz val="10"/>
      <color rgb="FFFF0000"/>
      <name val="Tahoma"/>
      <charset val="134"/>
    </font>
    <font>
      <b/>
      <sz val="20"/>
      <color rgb="FF000000"/>
      <name val="Tahoma"/>
      <charset val="134"/>
    </font>
    <font>
      <b/>
      <sz val="10"/>
      <color rgb="FF993300"/>
      <name val="Tahoma"/>
      <charset val="134"/>
    </font>
    <font>
      <u/>
      <sz val="11"/>
      <color theme="10"/>
      <name val="Calibri"/>
      <charset val="134"/>
    </font>
    <font>
      <sz val="10"/>
      <color rgb="FFFFFFFF"/>
      <name val="Tahoma"/>
      <charset val="134"/>
    </font>
    <font>
      <b/>
      <sz val="10"/>
      <color rgb="FF0000FF"/>
      <name val="Tahoma"/>
      <charset val="134"/>
    </font>
    <font>
      <b/>
      <sz val="22"/>
      <color rgb="FFFF0000"/>
      <name val="Tahoma"/>
      <charset val="134"/>
    </font>
    <font>
      <b/>
      <sz val="18"/>
      <color rgb="FFFF0000"/>
      <name val="Tahom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4"/>
      <name val="Tahoma"/>
      <charset val="134"/>
    </font>
    <font>
      <sz val="10"/>
      <color rgb="FF00B0F0"/>
      <name val="Tahoma"/>
      <charset val="134"/>
    </font>
    <font>
      <sz val="10"/>
      <name val="SimSun"/>
      <charset val="134"/>
    </font>
  </fonts>
  <fills count="41">
    <fill>
      <patternFill patternType="none"/>
    </fill>
    <fill>
      <patternFill patternType="gray125"/>
    </fill>
    <fill>
      <patternFill patternType="solid">
        <fgColor rgb="FFFFFFFF"/>
        <bgColor rgb="FFFFFFFF"/>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
      <patternFill patternType="solid">
        <fgColor rgb="FF525252"/>
        <bgColor rgb="FF525252"/>
      </patternFill>
    </fill>
    <fill>
      <patternFill patternType="solid">
        <fgColor rgb="FFD0CECE"/>
        <bgColor rgb="FFD0CECE"/>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0" borderId="37"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8" applyNumberFormat="0" applyFill="0" applyAlignment="0" applyProtection="0">
      <alignment vertical="center"/>
    </xf>
    <xf numFmtId="0" fontId="31" fillId="0" borderId="38" applyNumberFormat="0" applyFill="0" applyAlignment="0" applyProtection="0">
      <alignment vertical="center"/>
    </xf>
    <xf numFmtId="0" fontId="32" fillId="0" borderId="39" applyNumberFormat="0" applyFill="0" applyAlignment="0" applyProtection="0">
      <alignment vertical="center"/>
    </xf>
    <xf numFmtId="0" fontId="32" fillId="0" borderId="0" applyNumberFormat="0" applyFill="0" applyBorder="0" applyAlignment="0" applyProtection="0">
      <alignment vertical="center"/>
    </xf>
    <xf numFmtId="0" fontId="33" fillId="11" borderId="40" applyNumberFormat="0" applyAlignment="0" applyProtection="0">
      <alignment vertical="center"/>
    </xf>
    <xf numFmtId="0" fontId="34" fillId="12" borderId="41" applyNumberFormat="0" applyAlignment="0" applyProtection="0">
      <alignment vertical="center"/>
    </xf>
    <xf numFmtId="0" fontId="35" fillId="12" borderId="40" applyNumberFormat="0" applyAlignment="0" applyProtection="0">
      <alignment vertical="center"/>
    </xf>
    <xf numFmtId="0" fontId="36" fillId="13" borderId="42" applyNumberFormat="0" applyAlignment="0" applyProtection="0">
      <alignment vertical="center"/>
    </xf>
    <xf numFmtId="0" fontId="37" fillId="0" borderId="43" applyNumberFormat="0" applyFill="0" applyAlignment="0" applyProtection="0">
      <alignment vertical="center"/>
    </xf>
    <xf numFmtId="0" fontId="38" fillId="0" borderId="44" applyNumberFormat="0" applyFill="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3" fillId="38" borderId="0" applyNumberFormat="0" applyBorder="0" applyAlignment="0" applyProtection="0">
      <alignment vertical="center"/>
    </xf>
    <xf numFmtId="0" fontId="43" fillId="39" borderId="0" applyNumberFormat="0" applyBorder="0" applyAlignment="0" applyProtection="0">
      <alignment vertical="center"/>
    </xf>
    <xf numFmtId="0" fontId="42" fillId="40" borderId="0" applyNumberFormat="0" applyBorder="0" applyAlignment="0" applyProtection="0">
      <alignment vertical="center"/>
    </xf>
  </cellStyleXfs>
  <cellXfs count="167">
    <xf numFmtId="0" fontId="0" fillId="0" borderId="0" xfId="0" applyFont="1" applyAlignment="1"/>
    <xf numFmtId="0" fontId="1" fillId="0" borderId="0" xfId="0" applyFont="1"/>
    <xf numFmtId="0" fontId="1" fillId="0" borderId="1" xfId="0" applyFont="1" applyBorder="1"/>
    <xf numFmtId="0" fontId="2" fillId="0" borderId="0" xfId="0" applyFont="1" applyAlignment="1">
      <alignment horizontal="left" vertical="top" wrapText="1"/>
    </xf>
    <xf numFmtId="0" fontId="1" fillId="0" borderId="0" xfId="0" applyFont="1" applyAlignment="1">
      <alignment horizontal="left" wrapText="1"/>
    </xf>
    <xf numFmtId="0" fontId="2" fillId="0" borderId="0" xfId="0" applyFont="1" applyAlignment="1">
      <alignment horizontal="center" vertical="center"/>
    </xf>
    <xf numFmtId="0" fontId="2" fillId="0" borderId="0" xfId="0" applyFont="1"/>
    <xf numFmtId="178" fontId="3" fillId="2" borderId="2" xfId="0" applyNumberFormat="1" applyFont="1" applyFill="1" applyBorder="1" applyAlignment="1">
      <alignment horizontal="left" vertical="top" wrapText="1"/>
    </xf>
    <xf numFmtId="178" fontId="2" fillId="2" borderId="3" xfId="0" applyNumberFormat="1" applyFont="1" applyFill="1" applyBorder="1" applyAlignment="1">
      <alignment horizontal="left" vertical="top" wrapText="1"/>
    </xf>
    <xf numFmtId="178" fontId="2" fillId="2" borderId="4" xfId="0" applyNumberFormat="1" applyFont="1" applyFill="1" applyBorder="1" applyAlignment="1">
      <alignment horizontal="left" vertical="top" wrapText="1"/>
    </xf>
    <xf numFmtId="0" fontId="4" fillId="2" borderId="0" xfId="0" applyFont="1" applyFill="1" applyBorder="1" applyAlignment="1">
      <alignment horizontal="left" vertical="top"/>
    </xf>
    <xf numFmtId="178" fontId="3" fillId="2" borderId="5" xfId="0" applyNumberFormat="1" applyFont="1" applyFill="1" applyBorder="1" applyAlignment="1">
      <alignment horizontal="left" vertical="top" wrapText="1"/>
    </xf>
    <xf numFmtId="178" fontId="2" fillId="0" borderId="6" xfId="0" applyNumberFormat="1" applyFont="1" applyBorder="1" applyAlignment="1">
      <alignment horizontal="left" vertical="top" wrapText="1"/>
    </xf>
    <xf numFmtId="178" fontId="2" fillId="0" borderId="3" xfId="0" applyNumberFormat="1" applyFont="1" applyBorder="1" applyAlignment="1">
      <alignment horizontal="left" vertical="top" wrapText="1"/>
    </xf>
    <xf numFmtId="178" fontId="2" fillId="0" borderId="7" xfId="0" applyNumberFormat="1" applyFont="1" applyBorder="1" applyAlignment="1">
      <alignment horizontal="left" vertical="top" wrapText="1"/>
    </xf>
    <xf numFmtId="178" fontId="3" fillId="2" borderId="8" xfId="0" applyNumberFormat="1" applyFont="1" applyFill="1" applyBorder="1" applyAlignment="1">
      <alignment horizontal="left" vertical="top" wrapText="1"/>
    </xf>
    <xf numFmtId="178" fontId="5" fillId="2" borderId="6" xfId="0" applyNumberFormat="1" applyFont="1" applyFill="1" applyBorder="1" applyAlignment="1">
      <alignment horizontal="left" vertical="top" wrapText="1"/>
    </xf>
    <xf numFmtId="178" fontId="5" fillId="2" borderId="3" xfId="0" applyNumberFormat="1" applyFont="1" applyFill="1" applyBorder="1" applyAlignment="1">
      <alignment horizontal="left" vertical="top" wrapText="1"/>
    </xf>
    <xf numFmtId="178" fontId="5" fillId="2" borderId="7" xfId="0" applyNumberFormat="1" applyFont="1" applyFill="1" applyBorder="1" applyAlignment="1">
      <alignment horizontal="left" vertical="top" wrapText="1"/>
    </xf>
    <xf numFmtId="0" fontId="6" fillId="2" borderId="9" xfId="0" applyFont="1" applyFill="1" applyBorder="1" applyAlignment="1">
      <alignment horizontal="left" vertical="top"/>
    </xf>
    <xf numFmtId="0" fontId="6" fillId="2" borderId="2" xfId="0" applyFont="1" applyFill="1" applyBorder="1" applyAlignment="1">
      <alignment horizontal="left" vertical="top" wrapText="1"/>
    </xf>
    <xf numFmtId="0" fontId="6" fillId="2" borderId="6" xfId="0" applyFont="1" applyFill="1" applyBorder="1" applyAlignment="1">
      <alignment horizontal="left" vertical="top" wrapText="1"/>
    </xf>
    <xf numFmtId="3" fontId="4" fillId="2" borderId="10" xfId="0" applyNumberFormat="1" applyFont="1" applyFill="1" applyBorder="1" applyAlignment="1">
      <alignment horizontal="left" vertical="top"/>
    </xf>
    <xf numFmtId="3" fontId="4" fillId="2" borderId="0" xfId="0" applyNumberFormat="1" applyFont="1" applyFill="1" applyBorder="1" applyAlignment="1">
      <alignment horizontal="left" vertical="top"/>
    </xf>
    <xf numFmtId="3" fontId="4" fillId="2" borderId="0" xfId="0" applyNumberFormat="1" applyFont="1" applyFill="1" applyBorder="1" applyAlignment="1">
      <alignment horizontal="left" vertical="top" wrapText="1"/>
    </xf>
    <xf numFmtId="3" fontId="4" fillId="2" borderId="11" xfId="0" applyNumberFormat="1" applyFont="1" applyFill="1" applyBorder="1" applyAlignment="1">
      <alignment horizontal="left" vertical="top" wrapText="1"/>
    </xf>
    <xf numFmtId="0" fontId="4" fillId="2" borderId="0" xfId="0" applyFont="1" applyFill="1" applyBorder="1" applyAlignment="1">
      <alignment horizontal="left" vertical="top" wrapText="1"/>
    </xf>
    <xf numFmtId="0" fontId="7" fillId="3"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2" xfId="0" applyFont="1" applyFill="1" applyBorder="1"/>
    <xf numFmtId="0" fontId="1" fillId="0" borderId="2" xfId="0" applyFont="1" applyBorder="1"/>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2" fillId="0" borderId="0" xfId="0" applyFont="1" applyAlignment="1">
      <alignment horizontal="center" vertical="center" wrapText="1"/>
    </xf>
    <xf numFmtId="0" fontId="6" fillId="2" borderId="0" xfId="0" applyFont="1" applyFill="1" applyBorder="1" applyAlignment="1">
      <alignment horizontal="left" vertical="top"/>
    </xf>
    <xf numFmtId="178" fontId="8" fillId="2" borderId="8" xfId="0" applyNumberFormat="1" applyFont="1" applyFill="1" applyBorder="1" applyAlignment="1">
      <alignment horizontal="left" vertical="top" wrapText="1"/>
    </xf>
    <xf numFmtId="178" fontId="9" fillId="2" borderId="6" xfId="0" applyNumberFormat="1" applyFont="1" applyFill="1" applyBorder="1" applyAlignment="1">
      <alignment horizontal="left" vertical="top" wrapText="1"/>
    </xf>
    <xf numFmtId="0" fontId="10" fillId="0" borderId="3" xfId="0" applyFont="1" applyBorder="1"/>
    <xf numFmtId="0" fontId="10" fillId="0" borderId="4" xfId="0" applyFont="1" applyBorder="1"/>
    <xf numFmtId="178" fontId="9" fillId="2" borderId="0" xfId="0" applyNumberFormat="1" applyFont="1" applyFill="1" applyBorder="1" applyAlignment="1">
      <alignment horizontal="center" vertical="center" wrapText="1"/>
    </xf>
    <xf numFmtId="178" fontId="9" fillId="2" borderId="0" xfId="0" applyNumberFormat="1" applyFont="1" applyFill="1" applyBorder="1" applyAlignment="1">
      <alignment horizontal="left" vertical="top" wrapText="1"/>
    </xf>
    <xf numFmtId="178" fontId="8" fillId="2" borderId="12" xfId="0" applyNumberFormat="1" applyFont="1" applyFill="1" applyBorder="1" applyAlignment="1">
      <alignment horizontal="left" vertical="top" wrapText="1"/>
    </xf>
    <xf numFmtId="178" fontId="9" fillId="0" borderId="6" xfId="0" applyNumberFormat="1" applyFont="1" applyBorder="1" applyAlignment="1">
      <alignment horizontal="left" vertical="top" wrapText="1"/>
    </xf>
    <xf numFmtId="0" fontId="10" fillId="0" borderId="7" xfId="0" applyFont="1" applyBorder="1"/>
    <xf numFmtId="178" fontId="11" fillId="2" borderId="0" xfId="0" applyNumberFormat="1" applyFont="1" applyFill="1" applyBorder="1" applyAlignment="1">
      <alignment horizontal="center" vertical="center" wrapText="1"/>
    </xf>
    <xf numFmtId="178" fontId="11" fillId="2" borderId="0" xfId="0" applyNumberFormat="1" applyFont="1" applyFill="1" applyBorder="1" applyAlignment="1">
      <alignment horizontal="left" vertical="top" wrapText="1"/>
    </xf>
    <xf numFmtId="178" fontId="12" fillId="2" borderId="6" xfId="0" applyNumberFormat="1" applyFont="1" applyFill="1" applyBorder="1" applyAlignment="1">
      <alignment horizontal="left" vertical="top" wrapText="1"/>
    </xf>
    <xf numFmtId="0" fontId="13" fillId="2" borderId="9" xfId="0" applyFont="1" applyFill="1" applyBorder="1" applyAlignment="1">
      <alignment horizontal="center" vertical="top"/>
    </xf>
    <xf numFmtId="0" fontId="13" fillId="2" borderId="2" xfId="0" applyFont="1" applyFill="1" applyBorder="1" applyAlignment="1">
      <alignment horizontal="center" vertical="top" wrapText="1"/>
    </xf>
    <xf numFmtId="0" fontId="13" fillId="2" borderId="6" xfId="0" applyFont="1" applyFill="1" applyBorder="1" applyAlignment="1">
      <alignment horizontal="center" vertical="top" wrapText="1"/>
    </xf>
    <xf numFmtId="0" fontId="13" fillId="2" borderId="0" xfId="0" applyFont="1" applyFill="1" applyBorder="1" applyAlignment="1">
      <alignment horizontal="left" vertical="top" wrapText="1"/>
    </xf>
    <xf numFmtId="0" fontId="14" fillId="2" borderId="9" xfId="0" applyFont="1" applyFill="1" applyBorder="1" applyAlignment="1">
      <alignment horizontal="center" vertical="top"/>
    </xf>
    <xf numFmtId="0" fontId="14" fillId="2" borderId="2" xfId="0" applyFont="1" applyFill="1" applyBorder="1" applyAlignment="1">
      <alignment horizontal="center" vertical="top" wrapText="1"/>
    </xf>
    <xf numFmtId="0" fontId="14" fillId="2" borderId="6" xfId="0" applyFont="1" applyFill="1" applyBorder="1" applyAlignment="1">
      <alignment horizontal="center" vertical="top" wrapText="1"/>
    </xf>
    <xf numFmtId="0" fontId="14" fillId="2" borderId="13" xfId="0" applyFont="1" applyFill="1" applyBorder="1" applyAlignment="1">
      <alignment horizontal="center" vertical="top"/>
    </xf>
    <xf numFmtId="0" fontId="14" fillId="2" borderId="14" xfId="0" applyFont="1" applyFill="1" applyBorder="1" applyAlignment="1">
      <alignment horizontal="center" vertical="top" wrapText="1"/>
    </xf>
    <xf numFmtId="0" fontId="14" fillId="2" borderId="15" xfId="0" applyFont="1" applyFill="1" applyBorder="1" applyAlignment="1">
      <alignment horizontal="center" vertical="top" wrapText="1"/>
    </xf>
    <xf numFmtId="9" fontId="15" fillId="2" borderId="10" xfId="0" applyNumberFormat="1" applyFont="1" applyFill="1" applyBorder="1" applyAlignment="1">
      <alignment horizontal="left" vertical="top"/>
    </xf>
    <xf numFmtId="3" fontId="14" fillId="2" borderId="16" xfId="0" applyNumberFormat="1" applyFont="1" applyFill="1" applyBorder="1" applyAlignment="1">
      <alignment horizontal="left" vertical="top"/>
    </xf>
    <xf numFmtId="3" fontId="14" fillId="2" borderId="16" xfId="0" applyNumberFormat="1" applyFont="1" applyFill="1" applyBorder="1" applyAlignment="1">
      <alignment horizontal="left" vertical="top" wrapText="1"/>
    </xf>
    <xf numFmtId="3" fontId="14" fillId="2" borderId="17" xfId="0" applyNumberFormat="1" applyFont="1" applyFill="1" applyBorder="1" applyAlignment="1">
      <alignment horizontal="left" vertical="top"/>
    </xf>
    <xf numFmtId="3" fontId="14" fillId="2" borderId="0" xfId="0" applyNumberFormat="1" applyFont="1" applyFill="1" applyBorder="1" applyAlignment="1">
      <alignment horizontal="left" vertical="top" wrapText="1"/>
    </xf>
    <xf numFmtId="0" fontId="14" fillId="2" borderId="0" xfId="0" applyFont="1" applyFill="1" applyBorder="1" applyAlignment="1">
      <alignment horizontal="left" vertical="top" wrapText="1"/>
    </xf>
    <xf numFmtId="178" fontId="16" fillId="7" borderId="2" xfId="0" applyNumberFormat="1" applyFont="1" applyFill="1" applyBorder="1" applyAlignment="1">
      <alignment horizontal="left" vertical="top" wrapText="1"/>
    </xf>
    <xf numFmtId="178" fontId="16" fillId="7" borderId="2" xfId="0" applyNumberFormat="1" applyFont="1" applyFill="1" applyBorder="1" applyAlignment="1">
      <alignment horizontal="center" vertical="center" wrapText="1"/>
    </xf>
    <xf numFmtId="178" fontId="8" fillId="8" borderId="0" xfId="0" applyNumberFormat="1" applyFont="1" applyFill="1" applyBorder="1" applyAlignment="1">
      <alignment horizontal="left" vertical="top"/>
    </xf>
    <xf numFmtId="178" fontId="8" fillId="8" borderId="0" xfId="0" applyNumberFormat="1" applyFont="1" applyFill="1" applyBorder="1" applyAlignment="1">
      <alignment horizontal="left" vertical="top" wrapText="1"/>
    </xf>
    <xf numFmtId="178" fontId="9" fillId="8" borderId="0" xfId="0" applyNumberFormat="1" applyFont="1" applyFill="1" applyBorder="1" applyAlignment="1">
      <alignment horizontal="center" vertical="center"/>
    </xf>
    <xf numFmtId="178" fontId="17" fillId="0" borderId="2" xfId="0" applyNumberFormat="1" applyFont="1" applyBorder="1" applyAlignment="1">
      <alignment horizontal="center" vertical="center" wrapText="1"/>
    </xf>
    <xf numFmtId="0" fontId="9" fillId="0" borderId="2" xfId="0" applyFont="1" applyBorder="1" applyAlignment="1">
      <alignment horizontal="left" vertical="top" wrapText="1"/>
    </xf>
    <xf numFmtId="0" fontId="9" fillId="0" borderId="2" xfId="0" applyFont="1" applyBorder="1" applyAlignment="1">
      <alignment vertical="top" wrapText="1"/>
    </xf>
    <xf numFmtId="178" fontId="9" fillId="0" borderId="2" xfId="0" applyNumberFormat="1" applyFont="1" applyBorder="1" applyAlignment="1">
      <alignment horizontal="center" vertical="center" wrapText="1"/>
    </xf>
    <xf numFmtId="178" fontId="17" fillId="9" borderId="2" xfId="0" applyNumberFormat="1" applyFont="1" applyFill="1" applyBorder="1" applyAlignment="1">
      <alignment horizontal="center" vertical="center" wrapText="1"/>
    </xf>
    <xf numFmtId="0" fontId="9" fillId="9" borderId="2" xfId="0" applyFont="1" applyFill="1" applyBorder="1" applyAlignment="1">
      <alignment horizontal="left" vertical="top" wrapText="1"/>
    </xf>
    <xf numFmtId="178" fontId="9" fillId="9" borderId="2" xfId="0" applyNumberFormat="1" applyFont="1" applyFill="1" applyBorder="1" applyAlignment="1">
      <alignment horizontal="center" vertical="center" wrapText="1"/>
    </xf>
    <xf numFmtId="0" fontId="1"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horizontal="center" vertical="center"/>
    </xf>
    <xf numFmtId="0" fontId="9" fillId="0" borderId="0" xfId="0" applyFont="1"/>
    <xf numFmtId="0" fontId="17" fillId="2" borderId="0" xfId="0" applyFont="1" applyFill="1" applyBorder="1" applyAlignment="1">
      <alignment horizontal="center" vertical="center" wrapText="1"/>
    </xf>
    <xf numFmtId="0" fontId="14" fillId="2" borderId="0" xfId="0" applyFont="1" applyFill="1" applyBorder="1" applyAlignment="1">
      <alignment horizontal="left" vertical="top"/>
    </xf>
    <xf numFmtId="0" fontId="13" fillId="2" borderId="0" xfId="0" applyFont="1" applyFill="1" applyBorder="1" applyAlignment="1">
      <alignment horizontal="left" vertical="top"/>
    </xf>
    <xf numFmtId="0" fontId="16" fillId="7" borderId="2" xfId="0" applyFont="1" applyFill="1" applyBorder="1" applyAlignment="1">
      <alignment horizontal="center" vertical="center" wrapText="1"/>
    </xf>
    <xf numFmtId="178" fontId="15" fillId="2" borderId="0" xfId="0" applyNumberFormat="1" applyFont="1" applyFill="1" applyBorder="1" applyAlignment="1">
      <alignment horizontal="left" vertical="top" wrapText="1"/>
    </xf>
    <xf numFmtId="0" fontId="9" fillId="8" borderId="18" xfId="0" applyFont="1" applyFill="1" applyBorder="1" applyAlignment="1">
      <alignment horizontal="center" vertical="center" wrapText="1"/>
    </xf>
    <xf numFmtId="178" fontId="15" fillId="2" borderId="0" xfId="0" applyNumberFormat="1" applyFont="1" applyFill="1" applyBorder="1" applyAlignment="1">
      <alignment horizontal="left" vertical="top"/>
    </xf>
    <xf numFmtId="0" fontId="9" fillId="0" borderId="2" xfId="0" applyFont="1" applyBorder="1" applyAlignment="1">
      <alignment horizontal="center" vertical="center" wrapText="1"/>
    </xf>
    <xf numFmtId="0" fontId="1" fillId="0" borderId="0" xfId="0" applyFont="1" applyAlignment="1">
      <alignment vertical="top"/>
    </xf>
    <xf numFmtId="0" fontId="9" fillId="9" borderId="2" xfId="0" applyFont="1" applyFill="1" applyBorder="1" applyAlignment="1">
      <alignment horizontal="center" vertical="center" wrapText="1"/>
    </xf>
    <xf numFmtId="0" fontId="1" fillId="9" borderId="0" xfId="0" applyFont="1" applyFill="1" applyBorder="1" applyAlignment="1">
      <alignment vertical="top"/>
    </xf>
    <xf numFmtId="0" fontId="9" fillId="0" borderId="0" xfId="0" applyFont="1" applyAlignment="1">
      <alignment horizontal="center" vertical="center" wrapText="1"/>
    </xf>
    <xf numFmtId="0" fontId="9" fillId="9" borderId="2" xfId="0" applyFont="1" applyFill="1" applyBorder="1" applyAlignment="1">
      <alignment vertical="top" wrapText="1"/>
    </xf>
    <xf numFmtId="0" fontId="9" fillId="0" borderId="14" xfId="0" applyFont="1" applyBorder="1" applyAlignment="1">
      <alignment horizontal="center" vertical="center" wrapText="1"/>
    </xf>
    <xf numFmtId="0" fontId="10" fillId="0" borderId="19" xfId="0" applyFont="1" applyBorder="1"/>
    <xf numFmtId="0" fontId="10" fillId="0" borderId="18" xfId="0" applyFont="1" applyBorder="1"/>
    <xf numFmtId="178" fontId="8" fillId="8" borderId="1" xfId="0" applyNumberFormat="1" applyFont="1" applyFill="1" applyBorder="1" applyAlignment="1">
      <alignment horizontal="left" vertical="top"/>
    </xf>
    <xf numFmtId="178" fontId="8" fillId="8" borderId="1" xfId="0" applyNumberFormat="1" applyFont="1" applyFill="1" applyBorder="1" applyAlignment="1">
      <alignment horizontal="left" vertical="top" wrapText="1"/>
    </xf>
    <xf numFmtId="178" fontId="9" fillId="8" borderId="1" xfId="0" applyNumberFormat="1" applyFont="1" applyFill="1" applyBorder="1" applyAlignment="1">
      <alignment horizontal="center" vertical="center"/>
    </xf>
    <xf numFmtId="178" fontId="15" fillId="2" borderId="1" xfId="0" applyNumberFormat="1" applyFont="1" applyFill="1" applyBorder="1" applyAlignment="1">
      <alignment horizontal="left" vertical="top"/>
    </xf>
    <xf numFmtId="0" fontId="14" fillId="2" borderId="1" xfId="0" applyFont="1" applyFill="1" applyBorder="1" applyAlignment="1">
      <alignment horizontal="left" vertical="top"/>
    </xf>
    <xf numFmtId="178" fontId="9" fillId="2" borderId="0" xfId="0" applyNumberFormat="1" applyFont="1" applyFill="1" applyBorder="1"/>
    <xf numFmtId="178" fontId="18" fillId="2" borderId="0" xfId="0" applyNumberFormat="1" applyFont="1" applyFill="1" applyBorder="1" applyAlignment="1">
      <alignment horizontal="center"/>
    </xf>
    <xf numFmtId="0" fontId="10" fillId="0" borderId="0" xfId="0" applyFont="1" applyBorder="1"/>
    <xf numFmtId="178" fontId="8" fillId="2" borderId="0" xfId="0" applyNumberFormat="1" applyFont="1" applyFill="1" applyBorder="1"/>
    <xf numFmtId="15" fontId="9" fillId="2" borderId="0" xfId="0" applyNumberFormat="1" applyFont="1" applyFill="1" applyBorder="1"/>
    <xf numFmtId="178" fontId="19" fillId="2" borderId="2" xfId="0" applyNumberFormat="1" applyFont="1" applyFill="1" applyBorder="1" applyAlignment="1">
      <alignment horizontal="left" vertical="center"/>
    </xf>
    <xf numFmtId="178" fontId="9" fillId="2" borderId="6" xfId="0" applyNumberFormat="1" applyFont="1" applyFill="1" applyBorder="1" applyAlignment="1">
      <alignment horizontal="left"/>
    </xf>
    <xf numFmtId="178" fontId="19" fillId="2" borderId="6" xfId="0" applyNumberFormat="1" applyFont="1" applyFill="1" applyBorder="1" applyAlignment="1">
      <alignment horizontal="left"/>
    </xf>
    <xf numFmtId="178" fontId="15" fillId="2" borderId="6" xfId="0" applyNumberFormat="1" applyFont="1" applyFill="1" applyBorder="1" applyAlignment="1">
      <alignment horizontal="left" vertical="center"/>
    </xf>
    <xf numFmtId="178" fontId="11" fillId="2" borderId="6" xfId="0" applyNumberFormat="1" applyFont="1" applyFill="1" applyBorder="1" applyAlignment="1">
      <alignment horizontal="left"/>
    </xf>
    <xf numFmtId="178" fontId="19" fillId="2" borderId="2" xfId="0" applyNumberFormat="1" applyFont="1" applyFill="1" applyBorder="1" applyAlignment="1">
      <alignment vertical="center"/>
    </xf>
    <xf numFmtId="178" fontId="19" fillId="2" borderId="6" xfId="0" applyNumberFormat="1" applyFont="1" applyFill="1" applyBorder="1" applyAlignment="1">
      <alignment horizontal="left" vertical="center"/>
    </xf>
    <xf numFmtId="178" fontId="11" fillId="2" borderId="6" xfId="0" applyNumberFormat="1" applyFont="1" applyFill="1" applyBorder="1" applyAlignment="1">
      <alignment vertical="top"/>
    </xf>
    <xf numFmtId="178" fontId="19" fillId="2" borderId="0" xfId="0" applyNumberFormat="1" applyFont="1" applyFill="1" applyBorder="1"/>
    <xf numFmtId="178" fontId="11" fillId="2" borderId="0" xfId="0" applyNumberFormat="1" applyFont="1" applyFill="1" applyBorder="1"/>
    <xf numFmtId="178" fontId="9" fillId="2" borderId="20" xfId="0" applyNumberFormat="1" applyFont="1" applyFill="1" applyBorder="1"/>
    <xf numFmtId="178" fontId="16" fillId="7" borderId="21" xfId="0" applyNumberFormat="1" applyFont="1" applyFill="1" applyBorder="1" applyAlignment="1">
      <alignment horizontal="center"/>
    </xf>
    <xf numFmtId="178" fontId="16" fillId="7" borderId="22" xfId="0" applyNumberFormat="1" applyFont="1" applyFill="1" applyBorder="1" applyAlignment="1">
      <alignment horizontal="center"/>
    </xf>
    <xf numFmtId="178" fontId="16" fillId="7" borderId="22" xfId="0" applyNumberFormat="1" applyFont="1" applyFill="1" applyBorder="1" applyAlignment="1">
      <alignment horizontal="center" wrapText="1"/>
    </xf>
    <xf numFmtId="178" fontId="16" fillId="7" borderId="23" xfId="0" applyNumberFormat="1" applyFont="1" applyFill="1" applyBorder="1" applyAlignment="1">
      <alignment horizontal="center"/>
    </xf>
    <xf numFmtId="178" fontId="16" fillId="7" borderId="24" xfId="0" applyNumberFormat="1" applyFont="1" applyFill="1" applyBorder="1" applyAlignment="1">
      <alignment horizontal="center" wrapText="1"/>
    </xf>
    <xf numFmtId="1" fontId="9" fillId="0" borderId="25" xfId="0" applyNumberFormat="1" applyFont="1" applyBorder="1" applyAlignment="1">
      <alignment horizontal="center"/>
    </xf>
    <xf numFmtId="178" fontId="20" fillId="0" borderId="26" xfId="0" applyNumberFormat="1" applyFont="1" applyBorder="1"/>
    <xf numFmtId="1" fontId="9" fillId="0" borderId="26" xfId="0" applyNumberFormat="1" applyFont="1" applyBorder="1" applyAlignment="1">
      <alignment horizontal="center" vertical="center"/>
    </xf>
    <xf numFmtId="178" fontId="21" fillId="7" borderId="27" xfId="0" applyNumberFormat="1" applyFont="1" applyFill="1" applyBorder="1" applyAlignment="1">
      <alignment horizontal="center"/>
    </xf>
    <xf numFmtId="178" fontId="16" fillId="7" borderId="28" xfId="0" applyNumberFormat="1" applyFont="1" applyFill="1" applyBorder="1"/>
    <xf numFmtId="1" fontId="21" fillId="7" borderId="28" xfId="0" applyNumberFormat="1" applyFont="1" applyFill="1" applyBorder="1" applyAlignment="1">
      <alignment horizontal="center"/>
    </xf>
    <xf numFmtId="1" fontId="21" fillId="7" borderId="29" xfId="0" applyNumberFormat="1" applyFont="1" applyFill="1" applyBorder="1" applyAlignment="1">
      <alignment horizontal="center"/>
    </xf>
    <xf numFmtId="178" fontId="9" fillId="2" borderId="0" xfId="0" applyNumberFormat="1" applyFont="1" applyFill="1" applyBorder="1" applyAlignment="1">
      <alignment horizontal="center"/>
    </xf>
    <xf numFmtId="10" fontId="9" fillId="2" borderId="0" xfId="0" applyNumberFormat="1" applyFont="1" applyFill="1" applyBorder="1" applyAlignment="1">
      <alignment horizontal="center"/>
    </xf>
    <xf numFmtId="9" fontId="9" fillId="2" borderId="0" xfId="0" applyNumberFormat="1" applyFont="1" applyFill="1" applyBorder="1" applyAlignment="1">
      <alignment horizontal="center"/>
    </xf>
    <xf numFmtId="178" fontId="19" fillId="2" borderId="0" xfId="0" applyNumberFormat="1" applyFont="1" applyFill="1" applyBorder="1" applyAlignment="1">
      <alignment horizontal="left"/>
    </xf>
    <xf numFmtId="2" fontId="22" fillId="2" borderId="0" xfId="0" applyNumberFormat="1" applyFont="1" applyFill="1" applyBorder="1" applyAlignment="1">
      <alignment horizontal="right" wrapText="1"/>
    </xf>
    <xf numFmtId="178" fontId="14" fillId="2" borderId="0" xfId="0" applyNumberFormat="1" applyFont="1" applyFill="1" applyBorder="1" applyAlignment="1">
      <alignment horizontal="center" wrapText="1"/>
    </xf>
    <xf numFmtId="0" fontId="9" fillId="0" borderId="0" xfId="0" applyFont="1" applyAlignment="1">
      <alignment horizontal="left"/>
    </xf>
    <xf numFmtId="0" fontId="23" fillId="2" borderId="0" xfId="0" applyFont="1" applyFill="1" applyBorder="1" applyAlignment="1">
      <alignment horizontal="center" vertical="center"/>
    </xf>
    <xf numFmtId="0" fontId="24" fillId="0" borderId="6" xfId="0" applyFont="1" applyBorder="1" applyAlignment="1">
      <alignment horizontal="left" vertical="center"/>
    </xf>
    <xf numFmtId="0" fontId="18" fillId="0" borderId="6" xfId="0" applyFont="1" applyBorder="1" applyAlignment="1">
      <alignment horizontal="center" vertical="center"/>
    </xf>
    <xf numFmtId="0" fontId="19" fillId="2" borderId="0" xfId="0" applyFont="1" applyFill="1" applyBorder="1" applyAlignment="1">
      <alignment horizontal="left"/>
    </xf>
    <xf numFmtId="0" fontId="11" fillId="0" borderId="0" xfId="0" applyFont="1" applyAlignment="1">
      <alignment horizontal="left"/>
    </xf>
    <xf numFmtId="0" fontId="9" fillId="2" borderId="0" xfId="0" applyFont="1" applyFill="1" applyBorder="1"/>
    <xf numFmtId="0" fontId="19" fillId="2" borderId="2" xfId="0" applyFont="1" applyFill="1" applyBorder="1" applyAlignment="1">
      <alignment horizontal="left"/>
    </xf>
    <xf numFmtId="0" fontId="9" fillId="0" borderId="6" xfId="0" applyFont="1" applyBorder="1" applyAlignment="1">
      <alignment horizontal="left"/>
    </xf>
    <xf numFmtId="0" fontId="9" fillId="0" borderId="7" xfId="0" applyFont="1" applyBorder="1"/>
    <xf numFmtId="0" fontId="19" fillId="2" borderId="14" xfId="0" applyFont="1" applyFill="1" applyBorder="1" applyAlignment="1">
      <alignment horizontal="left" vertical="center"/>
    </xf>
    <xf numFmtId="0" fontId="9" fillId="0" borderId="30" xfId="0" applyFont="1" applyBorder="1" applyAlignment="1">
      <alignment horizontal="left" vertical="center"/>
    </xf>
    <xf numFmtId="0" fontId="10" fillId="0" borderId="15" xfId="0" applyFont="1" applyBorder="1"/>
    <xf numFmtId="0" fontId="10" fillId="0" borderId="31" xfId="0" applyFont="1" applyBorder="1"/>
    <xf numFmtId="178" fontId="9" fillId="0" borderId="2" xfId="0" applyNumberFormat="1" applyFont="1" applyBorder="1" applyAlignment="1">
      <alignment horizontal="left" vertical="center"/>
    </xf>
    <xf numFmtId="0" fontId="10" fillId="0" borderId="32" xfId="0" applyFont="1" applyBorder="1"/>
    <xf numFmtId="0" fontId="10" fillId="0" borderId="1" xfId="0" applyFont="1" applyBorder="1"/>
    <xf numFmtId="0" fontId="10" fillId="0" borderId="33" xfId="0" applyFont="1" applyBorder="1"/>
    <xf numFmtId="179" fontId="9" fillId="0" borderId="7" xfId="0" applyNumberFormat="1" applyFont="1" applyBorder="1" applyAlignment="1">
      <alignment horizontal="left"/>
    </xf>
    <xf numFmtId="0" fontId="19" fillId="0" borderId="0" xfId="0" applyFont="1" applyAlignment="1">
      <alignment horizontal="left"/>
    </xf>
    <xf numFmtId="0" fontId="9" fillId="0" borderId="0" xfId="0" applyFont="1" applyAlignment="1">
      <alignment vertical="center"/>
    </xf>
    <xf numFmtId="15" fontId="16" fillId="7" borderId="34" xfId="0" applyNumberFormat="1" applyFont="1" applyFill="1" applyBorder="1" applyAlignment="1">
      <alignment horizontal="left" vertical="center"/>
    </xf>
    <xf numFmtId="0" fontId="16" fillId="7" borderId="35" xfId="0" applyFont="1" applyFill="1" applyBorder="1" applyAlignment="1">
      <alignment horizontal="center" vertical="center"/>
    </xf>
    <xf numFmtId="0" fontId="16" fillId="7" borderId="36" xfId="0" applyFont="1" applyFill="1" applyBorder="1" applyAlignment="1">
      <alignment horizontal="center" vertical="center"/>
    </xf>
    <xf numFmtId="178" fontId="17" fillId="0" borderId="2" xfId="0" applyNumberFormat="1" applyFont="1" applyBorder="1" applyAlignment="1">
      <alignment horizontal="left" vertical="center"/>
    </xf>
    <xf numFmtId="0" fontId="9" fillId="0" borderId="2" xfId="0" applyFont="1" applyBorder="1" applyAlignment="1">
      <alignment horizontal="left" vertical="top"/>
    </xf>
    <xf numFmtId="0" fontId="9" fillId="0" borderId="2" xfId="0" applyFont="1" applyBorder="1"/>
    <xf numFmtId="0" fontId="9" fillId="0" borderId="2" xfId="0" applyFont="1" applyBorder="1" applyAlignment="1">
      <alignment wrapText="1"/>
    </xf>
    <xf numFmtId="0" fontId="9" fillId="0" borderId="2" xfId="0" applyFont="1" applyBorder="1" applyAlignment="1">
      <alignment horizontal="center"/>
    </xf>
    <xf numFmtId="0" fontId="9" fillId="0" borderId="0" xfId="0" applyFont="1" applyAlignment="1">
      <alignment wrapText="1"/>
    </xf>
    <xf numFmtId="0" fontId="9" fillId="0" borderId="2" xfId="0" applyFont="1" applyBorder="1" applyAlignment="1" quotePrefix="1">
      <alignment horizontal="left" vertical="top" wrapText="1"/>
    </xf>
    <xf numFmtId="0" fontId="9" fillId="9" borderId="2" xfId="0" applyFont="1" applyFill="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G4" sqref="G4"/>
    </sheetView>
  </sheetViews>
  <sheetFormatPr defaultColWidth="14.4259259259259" defaultRowHeight="15" customHeight="1"/>
  <cols>
    <col min="1" max="1" width="2.57407407407407" customWidth="1"/>
    <col min="2" max="2" width="22.4259259259259" customWidth="1"/>
    <col min="3" max="3" width="27.8611111111111" customWidth="1"/>
    <col min="4" max="4" width="26.8611111111111" customWidth="1"/>
    <col min="5" max="5" width="21.1388888888889" customWidth="1"/>
    <col min="6" max="6" width="35.5740740740741" customWidth="1"/>
    <col min="7" max="7" width="47.287037037037" customWidth="1"/>
    <col min="8" max="26" width="9.13888888888889" customWidth="1"/>
  </cols>
  <sheetData>
    <row r="1" ht="12.75" customHeight="1" spans="1:26">
      <c r="A1" s="81"/>
      <c r="B1" s="137"/>
      <c r="C1" s="81"/>
      <c r="D1" s="81"/>
      <c r="E1" s="81"/>
      <c r="F1" s="81"/>
      <c r="G1" s="81"/>
      <c r="H1" s="81"/>
      <c r="I1" s="81"/>
      <c r="J1" s="81"/>
      <c r="K1" s="81"/>
      <c r="L1" s="81"/>
      <c r="M1" s="81"/>
      <c r="N1" s="81"/>
      <c r="O1" s="81"/>
      <c r="P1" s="81"/>
      <c r="Q1" s="81"/>
      <c r="R1" s="81"/>
      <c r="S1" s="81"/>
      <c r="T1" s="81"/>
      <c r="U1" s="81"/>
      <c r="V1" s="81"/>
      <c r="W1" s="81"/>
      <c r="X1" s="81"/>
      <c r="Y1" s="81"/>
      <c r="Z1" s="81"/>
    </row>
    <row r="2" ht="53.25" customHeight="1" spans="1:26">
      <c r="A2" s="138"/>
      <c r="B2" s="139"/>
      <c r="C2" s="140" t="s">
        <v>0</v>
      </c>
      <c r="D2" s="40"/>
      <c r="E2" s="40"/>
      <c r="F2" s="40"/>
      <c r="G2" s="46"/>
      <c r="H2" s="80"/>
      <c r="I2" s="80"/>
      <c r="J2" s="80"/>
      <c r="K2" s="80"/>
      <c r="L2" s="80"/>
      <c r="M2" s="80"/>
      <c r="N2" s="80"/>
      <c r="O2" s="80"/>
      <c r="P2" s="80"/>
      <c r="Q2" s="80"/>
      <c r="R2" s="80"/>
      <c r="S2" s="80"/>
      <c r="T2" s="80"/>
      <c r="U2" s="80"/>
      <c r="V2" s="80"/>
      <c r="W2" s="80"/>
      <c r="X2" s="80"/>
      <c r="Y2" s="80"/>
      <c r="Z2" s="80"/>
    </row>
    <row r="3" ht="12.75" customHeight="1" spans="1:26">
      <c r="A3" s="81"/>
      <c r="B3" s="141"/>
      <c r="C3" s="142"/>
      <c r="D3" s="81"/>
      <c r="E3" s="81"/>
      <c r="F3" s="143"/>
      <c r="G3" s="81"/>
      <c r="H3" s="81"/>
      <c r="I3" s="81"/>
      <c r="J3" s="81"/>
      <c r="K3" s="81"/>
      <c r="L3" s="81"/>
      <c r="M3" s="81"/>
      <c r="N3" s="81"/>
      <c r="O3" s="81"/>
      <c r="P3" s="81"/>
      <c r="Q3" s="81"/>
      <c r="R3" s="81"/>
      <c r="S3" s="81"/>
      <c r="T3" s="81"/>
      <c r="U3" s="81"/>
      <c r="V3" s="81"/>
      <c r="W3" s="81"/>
      <c r="X3" s="81"/>
      <c r="Y3" s="81"/>
      <c r="Z3" s="81"/>
    </row>
    <row r="4" ht="12.75" customHeight="1" spans="1:26">
      <c r="A4" s="81"/>
      <c r="B4" s="144" t="s">
        <v>1</v>
      </c>
      <c r="C4" s="145" t="s">
        <v>2</v>
      </c>
      <c r="D4" s="40"/>
      <c r="E4" s="46"/>
      <c r="F4" s="144" t="s">
        <v>3</v>
      </c>
      <c r="G4" s="146" t="s">
        <v>4</v>
      </c>
      <c r="H4" s="81"/>
      <c r="I4" s="81"/>
      <c r="J4" s="81"/>
      <c r="K4" s="81"/>
      <c r="L4" s="81"/>
      <c r="M4" s="81"/>
      <c r="N4" s="81"/>
      <c r="O4" s="81"/>
      <c r="P4" s="81"/>
      <c r="Q4" s="81"/>
      <c r="R4" s="81"/>
      <c r="S4" s="81"/>
      <c r="T4" s="81"/>
      <c r="U4" s="81"/>
      <c r="V4" s="81"/>
      <c r="W4" s="81"/>
      <c r="X4" s="81"/>
      <c r="Y4" s="81"/>
      <c r="Z4" s="81"/>
    </row>
    <row r="5" ht="12.75" customHeight="1" spans="1:26">
      <c r="A5" s="81"/>
      <c r="B5" s="144" t="s">
        <v>5</v>
      </c>
      <c r="C5" s="145"/>
      <c r="D5" s="40"/>
      <c r="E5" s="46"/>
      <c r="F5" s="144" t="s">
        <v>6</v>
      </c>
      <c r="G5" s="146"/>
      <c r="H5" s="81"/>
      <c r="I5" s="81"/>
      <c r="J5" s="81"/>
      <c r="K5" s="81"/>
      <c r="L5" s="81"/>
      <c r="M5" s="81"/>
      <c r="N5" s="81"/>
      <c r="O5" s="81"/>
      <c r="P5" s="81"/>
      <c r="Q5" s="81"/>
      <c r="R5" s="81"/>
      <c r="S5" s="81"/>
      <c r="T5" s="81"/>
      <c r="U5" s="81"/>
      <c r="V5" s="81"/>
      <c r="W5" s="81"/>
      <c r="X5" s="81"/>
      <c r="Y5" s="81"/>
      <c r="Z5" s="81"/>
    </row>
    <row r="6" ht="12.75" customHeight="1" spans="1:26">
      <c r="A6" s="81"/>
      <c r="B6" s="147" t="s">
        <v>7</v>
      </c>
      <c r="C6" s="148"/>
      <c r="D6" s="149"/>
      <c r="E6" s="150"/>
      <c r="F6" s="144" t="s">
        <v>8</v>
      </c>
      <c r="G6" s="151"/>
      <c r="H6" s="81"/>
      <c r="I6" s="81"/>
      <c r="J6" s="81"/>
      <c r="K6" s="81"/>
      <c r="L6" s="81"/>
      <c r="M6" s="81"/>
      <c r="N6" s="81"/>
      <c r="O6" s="81"/>
      <c r="P6" s="81"/>
      <c r="Q6" s="81"/>
      <c r="R6" s="81"/>
      <c r="S6" s="81"/>
      <c r="T6" s="81"/>
      <c r="U6" s="81"/>
      <c r="V6" s="81"/>
      <c r="W6" s="81"/>
      <c r="X6" s="81"/>
      <c r="Y6" s="81"/>
      <c r="Z6" s="81"/>
    </row>
    <row r="7" ht="12.75" customHeight="1" spans="1:26">
      <c r="A7" s="81"/>
      <c r="B7" s="97"/>
      <c r="C7" s="152"/>
      <c r="D7" s="153"/>
      <c r="E7" s="154"/>
      <c r="F7" s="144" t="s">
        <v>9</v>
      </c>
      <c r="G7" s="155"/>
      <c r="H7" s="81"/>
      <c r="I7" s="81"/>
      <c r="J7" s="81"/>
      <c r="K7" s="81"/>
      <c r="L7" s="81"/>
      <c r="M7" s="81"/>
      <c r="N7" s="81"/>
      <c r="O7" s="81"/>
      <c r="P7" s="81"/>
      <c r="Q7" s="81"/>
      <c r="R7" s="81"/>
      <c r="S7" s="81"/>
      <c r="T7" s="81"/>
      <c r="U7" s="81"/>
      <c r="V7" s="81"/>
      <c r="W7" s="81"/>
      <c r="X7" s="81"/>
      <c r="Y7" s="81"/>
      <c r="Z7" s="81"/>
    </row>
    <row r="8" ht="12.75" customHeight="1" spans="1:26">
      <c r="A8" s="81"/>
      <c r="B8" s="141"/>
      <c r="C8" s="142"/>
      <c r="D8" s="81"/>
      <c r="E8" s="81"/>
      <c r="F8" s="141"/>
      <c r="G8" s="142"/>
      <c r="H8" s="81"/>
      <c r="I8" s="81"/>
      <c r="J8" s="81"/>
      <c r="K8" s="81"/>
      <c r="L8" s="81"/>
      <c r="M8" s="81"/>
      <c r="N8" s="81"/>
      <c r="O8" s="81"/>
      <c r="P8" s="81"/>
      <c r="Q8" s="81"/>
      <c r="R8" s="81"/>
      <c r="S8" s="81"/>
      <c r="T8" s="81"/>
      <c r="U8" s="81"/>
      <c r="V8" s="81"/>
      <c r="W8" s="81"/>
      <c r="X8" s="81"/>
      <c r="Y8" s="81"/>
      <c r="Z8" s="81"/>
    </row>
    <row r="9" ht="12.75" customHeight="1" spans="1:26">
      <c r="A9" s="81"/>
      <c r="B9" s="137"/>
      <c r="C9" s="81"/>
      <c r="D9" s="81"/>
      <c r="E9" s="81"/>
      <c r="F9" s="81"/>
      <c r="G9" s="81"/>
      <c r="H9" s="81"/>
      <c r="I9" s="81"/>
      <c r="J9" s="81"/>
      <c r="K9" s="81"/>
      <c r="L9" s="81"/>
      <c r="M9" s="81"/>
      <c r="N9" s="81"/>
      <c r="O9" s="81"/>
      <c r="P9" s="81"/>
      <c r="Q9" s="81"/>
      <c r="R9" s="81"/>
      <c r="S9" s="81"/>
      <c r="T9" s="81"/>
      <c r="U9" s="81"/>
      <c r="V9" s="81"/>
      <c r="W9" s="81"/>
      <c r="X9" s="81"/>
      <c r="Y9" s="81"/>
      <c r="Z9" s="81"/>
    </row>
    <row r="10" ht="12.75" customHeight="1" spans="1:26">
      <c r="A10" s="81"/>
      <c r="B10" s="156" t="s">
        <v>10</v>
      </c>
      <c r="C10" s="81"/>
      <c r="D10" s="81"/>
      <c r="E10" s="81"/>
      <c r="F10" s="81"/>
      <c r="G10" s="81"/>
      <c r="H10" s="81"/>
      <c r="I10" s="81"/>
      <c r="J10" s="81"/>
      <c r="K10" s="81"/>
      <c r="L10" s="81"/>
      <c r="M10" s="81"/>
      <c r="N10" s="81"/>
      <c r="O10" s="81"/>
      <c r="P10" s="81"/>
      <c r="Q10" s="81"/>
      <c r="R10" s="81"/>
      <c r="S10" s="81"/>
      <c r="T10" s="81"/>
      <c r="U10" s="81"/>
      <c r="V10" s="81"/>
      <c r="W10" s="81"/>
      <c r="X10" s="81"/>
      <c r="Y10" s="81"/>
      <c r="Z10" s="81"/>
    </row>
    <row r="11" ht="12.75" customHeight="1" spans="1:26">
      <c r="A11" s="157"/>
      <c r="B11" s="158" t="s">
        <v>11</v>
      </c>
      <c r="C11" s="159" t="s">
        <v>12</v>
      </c>
      <c r="D11" s="159" t="s">
        <v>13</v>
      </c>
      <c r="E11" s="160" t="s">
        <v>14</v>
      </c>
      <c r="F11" s="160" t="s">
        <v>15</v>
      </c>
      <c r="G11" s="157"/>
      <c r="H11" s="157"/>
      <c r="I11" s="157"/>
      <c r="J11" s="157"/>
      <c r="K11" s="157"/>
      <c r="L11" s="157"/>
      <c r="M11" s="157"/>
      <c r="N11" s="157"/>
      <c r="O11" s="157"/>
      <c r="P11" s="157"/>
      <c r="Q11" s="157"/>
      <c r="R11" s="157"/>
      <c r="S11" s="157"/>
      <c r="T11" s="157"/>
      <c r="U11" s="157"/>
      <c r="V11" s="157"/>
      <c r="W11" s="157"/>
      <c r="X11" s="157"/>
      <c r="Y11" s="157"/>
      <c r="Z11" s="157"/>
    </row>
    <row r="12" ht="12.75" customHeight="1" spans="1:26">
      <c r="A12" s="81"/>
      <c r="B12" s="161"/>
      <c r="C12" s="162"/>
      <c r="D12" s="162"/>
      <c r="E12" s="73"/>
      <c r="F12" s="73"/>
      <c r="G12" s="81"/>
      <c r="H12" s="81"/>
      <c r="I12" s="81"/>
      <c r="J12" s="81"/>
      <c r="K12" s="81"/>
      <c r="L12" s="81"/>
      <c r="M12" s="81"/>
      <c r="N12" s="81"/>
      <c r="O12" s="81"/>
      <c r="P12" s="81"/>
      <c r="Q12" s="81"/>
      <c r="R12" s="81"/>
      <c r="S12" s="81"/>
      <c r="T12" s="81"/>
      <c r="U12" s="81"/>
      <c r="V12" s="81"/>
      <c r="W12" s="81"/>
      <c r="X12" s="81"/>
      <c r="Y12" s="81"/>
      <c r="Z12" s="81"/>
    </row>
    <row r="13" ht="12.75" customHeight="1" spans="1:26">
      <c r="A13" s="81"/>
      <c r="B13" s="161"/>
      <c r="C13" s="162"/>
      <c r="D13" s="162"/>
      <c r="E13" s="73"/>
      <c r="F13" s="73"/>
      <c r="G13" s="81"/>
      <c r="H13" s="81"/>
      <c r="I13" s="81"/>
      <c r="J13" s="81"/>
      <c r="K13" s="81"/>
      <c r="L13" s="81"/>
      <c r="M13" s="81"/>
      <c r="N13" s="81"/>
      <c r="O13" s="81"/>
      <c r="P13" s="81"/>
      <c r="Q13" s="81"/>
      <c r="R13" s="81"/>
      <c r="S13" s="81"/>
      <c r="T13" s="81"/>
      <c r="U13" s="81"/>
      <c r="V13" s="81"/>
      <c r="W13" s="81"/>
      <c r="X13" s="81"/>
      <c r="Y13" s="81"/>
      <c r="Z13" s="81"/>
    </row>
    <row r="14" ht="12.75" customHeight="1" spans="1:26">
      <c r="A14" s="81"/>
      <c r="B14" s="151"/>
      <c r="C14" s="162"/>
      <c r="D14" s="163"/>
      <c r="E14" s="73"/>
      <c r="F14" s="73"/>
      <c r="G14" s="81"/>
      <c r="H14" s="81"/>
      <c r="I14" s="81"/>
      <c r="J14" s="81"/>
      <c r="K14" s="81"/>
      <c r="L14" s="81"/>
      <c r="M14" s="81"/>
      <c r="N14" s="81"/>
      <c r="O14" s="81"/>
      <c r="P14" s="81"/>
      <c r="Q14" s="81"/>
      <c r="R14" s="81"/>
      <c r="S14" s="81"/>
      <c r="T14" s="81"/>
      <c r="U14" s="81"/>
      <c r="V14" s="81"/>
      <c r="W14" s="81"/>
      <c r="X14" s="81"/>
      <c r="Y14" s="81"/>
      <c r="Z14" s="81"/>
    </row>
    <row r="15" ht="12.75" customHeight="1" spans="1:26">
      <c r="A15" s="81"/>
      <c r="B15" s="151"/>
      <c r="C15" s="162"/>
      <c r="D15" s="163"/>
      <c r="E15" s="163"/>
      <c r="F15" s="164"/>
      <c r="G15" s="81"/>
      <c r="H15" s="81"/>
      <c r="I15" s="81"/>
      <c r="J15" s="81"/>
      <c r="K15" s="81"/>
      <c r="L15" s="81"/>
      <c r="M15" s="81"/>
      <c r="N15" s="81"/>
      <c r="O15" s="81"/>
      <c r="P15" s="81"/>
      <c r="Q15" s="81"/>
      <c r="R15" s="81"/>
      <c r="S15" s="81"/>
      <c r="T15" s="81"/>
      <c r="U15" s="81"/>
      <c r="V15" s="81"/>
      <c r="W15" s="81"/>
      <c r="X15" s="81"/>
      <c r="Y15" s="81"/>
      <c r="Z15" s="81"/>
    </row>
    <row r="16" ht="12.75" customHeight="1" spans="1:26">
      <c r="A16" s="81"/>
      <c r="B16" s="151"/>
      <c r="C16" s="162"/>
      <c r="D16" s="163"/>
      <c r="E16" s="163"/>
      <c r="F16" s="164"/>
      <c r="G16" s="81"/>
      <c r="H16" s="81"/>
      <c r="I16" s="81"/>
      <c r="J16" s="81"/>
      <c r="K16" s="81"/>
      <c r="L16" s="81"/>
      <c r="M16" s="81"/>
      <c r="N16" s="81"/>
      <c r="O16" s="81"/>
      <c r="P16" s="81"/>
      <c r="Q16" s="81"/>
      <c r="R16" s="81"/>
      <c r="S16" s="81"/>
      <c r="T16" s="81"/>
      <c r="U16" s="81"/>
      <c r="V16" s="81"/>
      <c r="W16" s="81"/>
      <c r="X16" s="81"/>
      <c r="Y16" s="81"/>
      <c r="Z16" s="81"/>
    </row>
    <row r="17" ht="12.75" customHeight="1" spans="1:26">
      <c r="A17" s="81"/>
      <c r="B17" s="151"/>
      <c r="C17" s="162"/>
      <c r="D17" s="163"/>
      <c r="E17" s="163"/>
      <c r="F17" s="164"/>
      <c r="G17" s="81"/>
      <c r="H17" s="81"/>
      <c r="I17" s="81"/>
      <c r="J17" s="81"/>
      <c r="K17" s="81"/>
      <c r="L17" s="81"/>
      <c r="M17" s="81"/>
      <c r="N17" s="81"/>
      <c r="O17" s="81"/>
      <c r="P17" s="81"/>
      <c r="Q17" s="81"/>
      <c r="R17" s="81"/>
      <c r="S17" s="81"/>
      <c r="T17" s="81"/>
      <c r="U17" s="81"/>
      <c r="V17" s="81"/>
      <c r="W17" s="81"/>
      <c r="X17" s="81"/>
      <c r="Y17" s="81"/>
      <c r="Z17" s="81"/>
    </row>
    <row r="18" ht="12.75" customHeight="1" spans="1:26">
      <c r="A18" s="81"/>
      <c r="B18" s="151"/>
      <c r="C18" s="162"/>
      <c r="D18" s="165"/>
      <c r="E18" s="163"/>
      <c r="F18" s="164"/>
      <c r="G18" s="81"/>
      <c r="H18" s="81"/>
      <c r="I18" s="81"/>
      <c r="J18" s="81"/>
      <c r="K18" s="81"/>
      <c r="L18" s="81"/>
      <c r="M18" s="81"/>
      <c r="N18" s="81"/>
      <c r="O18" s="81"/>
      <c r="P18" s="81"/>
      <c r="Q18" s="81"/>
      <c r="R18" s="81"/>
      <c r="S18" s="81"/>
      <c r="T18" s="81"/>
      <c r="U18" s="81"/>
      <c r="V18" s="81"/>
      <c r="W18" s="81"/>
      <c r="X18" s="81"/>
      <c r="Y18" s="81"/>
      <c r="Z18" s="81"/>
    </row>
    <row r="19" ht="12.75" customHeight="1" spans="1:26">
      <c r="A19" s="81"/>
      <c r="B19" s="137"/>
      <c r="C19" s="81"/>
      <c r="D19" s="81"/>
      <c r="E19" s="81"/>
      <c r="F19" s="81"/>
      <c r="G19" s="166"/>
      <c r="H19" s="81"/>
      <c r="I19" s="81"/>
      <c r="J19" s="81"/>
      <c r="K19" s="81"/>
      <c r="L19" s="81"/>
      <c r="M19" s="81"/>
      <c r="N19" s="81"/>
      <c r="O19" s="81"/>
      <c r="P19" s="81"/>
      <c r="Q19" s="81"/>
      <c r="R19" s="81"/>
      <c r="S19" s="81"/>
      <c r="T19" s="81"/>
      <c r="U19" s="81"/>
      <c r="V19" s="81"/>
      <c r="W19" s="81"/>
      <c r="X19" s="81"/>
      <c r="Y19" s="81"/>
      <c r="Z19" s="81"/>
    </row>
    <row r="20" ht="12.75" customHeight="1" spans="1:26">
      <c r="A20" s="81"/>
      <c r="B20" s="137"/>
      <c r="C20" s="81"/>
      <c r="D20" s="81"/>
      <c r="E20" s="81"/>
      <c r="F20" s="81"/>
      <c r="G20" s="166"/>
      <c r="H20" s="81"/>
      <c r="I20" s="81"/>
      <c r="J20" s="81"/>
      <c r="K20" s="81"/>
      <c r="L20" s="81"/>
      <c r="M20" s="81"/>
      <c r="N20" s="81"/>
      <c r="O20" s="81"/>
      <c r="P20" s="81"/>
      <c r="Q20" s="81"/>
      <c r="R20" s="81"/>
      <c r="S20" s="81"/>
      <c r="T20" s="81"/>
      <c r="U20" s="81"/>
      <c r="V20" s="81"/>
      <c r="W20" s="81"/>
      <c r="X20" s="81"/>
      <c r="Y20" s="81"/>
      <c r="Z20" s="81"/>
    </row>
    <row r="21" ht="12.75" customHeight="1" spans="1:26">
      <c r="A21" s="81"/>
      <c r="B21" s="137"/>
      <c r="C21" s="81"/>
      <c r="D21" s="81"/>
      <c r="E21" s="81"/>
      <c r="F21" s="81"/>
      <c r="G21" s="166"/>
      <c r="H21" s="81"/>
      <c r="I21" s="81"/>
      <c r="J21" s="81"/>
      <c r="K21" s="81"/>
      <c r="L21" s="81"/>
      <c r="M21" s="81"/>
      <c r="N21" s="81"/>
      <c r="O21" s="81"/>
      <c r="P21" s="81"/>
      <c r="Q21" s="81"/>
      <c r="R21" s="81"/>
      <c r="S21" s="81"/>
      <c r="T21" s="81"/>
      <c r="U21" s="81"/>
      <c r="V21" s="81"/>
      <c r="W21" s="81"/>
      <c r="X21" s="81"/>
      <c r="Y21" s="81"/>
      <c r="Z21" s="81"/>
    </row>
    <row r="22" ht="12.75" customHeight="1" spans="1:26">
      <c r="A22" s="81"/>
      <c r="B22" s="137"/>
      <c r="C22" s="81"/>
      <c r="D22" s="81"/>
      <c r="E22" s="81"/>
      <c r="F22" s="81"/>
      <c r="G22" s="166"/>
      <c r="H22" s="81"/>
      <c r="I22" s="81"/>
      <c r="J22" s="81"/>
      <c r="K22" s="81"/>
      <c r="L22" s="81"/>
      <c r="M22" s="81"/>
      <c r="N22" s="81"/>
      <c r="O22" s="81"/>
      <c r="P22" s="81"/>
      <c r="Q22" s="81"/>
      <c r="R22" s="81"/>
      <c r="S22" s="81"/>
      <c r="T22" s="81"/>
      <c r="U22" s="81"/>
      <c r="V22" s="81"/>
      <c r="W22" s="81"/>
      <c r="X22" s="81"/>
      <c r="Y22" s="81"/>
      <c r="Z22" s="81"/>
    </row>
    <row r="23" ht="12.75" customHeight="1" spans="1:26">
      <c r="A23" s="81"/>
      <c r="B23" s="137"/>
      <c r="C23" s="81"/>
      <c r="D23" s="81"/>
      <c r="E23" s="81"/>
      <c r="F23" s="81"/>
      <c r="G23" s="81"/>
      <c r="H23" s="81"/>
      <c r="I23" s="81"/>
      <c r="J23" s="81"/>
      <c r="K23" s="81"/>
      <c r="L23" s="81"/>
      <c r="M23" s="81"/>
      <c r="N23" s="81"/>
      <c r="O23" s="81"/>
      <c r="P23" s="81"/>
      <c r="Q23" s="81"/>
      <c r="R23" s="81"/>
      <c r="S23" s="81"/>
      <c r="T23" s="81"/>
      <c r="U23" s="81"/>
      <c r="V23" s="81"/>
      <c r="W23" s="81"/>
      <c r="X23" s="81"/>
      <c r="Y23" s="81"/>
      <c r="Z23" s="81"/>
    </row>
    <row r="24" ht="12.75" customHeight="1" spans="1:26">
      <c r="A24" s="81"/>
      <c r="B24" s="137"/>
      <c r="C24" s="81"/>
      <c r="D24" s="81"/>
      <c r="E24" s="81"/>
      <c r="F24" s="81"/>
      <c r="G24" s="81"/>
      <c r="H24" s="81"/>
      <c r="I24" s="81"/>
      <c r="J24" s="81"/>
      <c r="K24" s="81"/>
      <c r="L24" s="81"/>
      <c r="M24" s="81"/>
      <c r="N24" s="81"/>
      <c r="O24" s="81"/>
      <c r="P24" s="81"/>
      <c r="Q24" s="81"/>
      <c r="R24" s="81"/>
      <c r="S24" s="81"/>
      <c r="T24" s="81"/>
      <c r="U24" s="81"/>
      <c r="V24" s="81"/>
      <c r="W24" s="81"/>
      <c r="X24" s="81"/>
      <c r="Y24" s="81"/>
      <c r="Z24" s="81"/>
    </row>
    <row r="25" ht="12.75" customHeight="1" spans="1:26">
      <c r="A25" s="81"/>
      <c r="B25" s="137"/>
      <c r="C25" s="81"/>
      <c r="D25" s="81"/>
      <c r="E25" s="81"/>
      <c r="F25" s="81"/>
      <c r="G25" s="81"/>
      <c r="H25" s="81"/>
      <c r="I25" s="81"/>
      <c r="J25" s="81"/>
      <c r="K25" s="81"/>
      <c r="L25" s="81"/>
      <c r="M25" s="81"/>
      <c r="N25" s="81"/>
      <c r="O25" s="81"/>
      <c r="P25" s="81"/>
      <c r="Q25" s="81"/>
      <c r="R25" s="81"/>
      <c r="S25" s="81"/>
      <c r="T25" s="81"/>
      <c r="U25" s="81"/>
      <c r="V25" s="81"/>
      <c r="W25" s="81"/>
      <c r="X25" s="81"/>
      <c r="Y25" s="81"/>
      <c r="Z25" s="81"/>
    </row>
    <row r="26" ht="12.75" customHeight="1" spans="1:26">
      <c r="A26" s="81"/>
      <c r="B26" s="137"/>
      <c r="C26" s="81"/>
      <c r="D26" s="81"/>
      <c r="E26" s="81"/>
      <c r="F26" s="81"/>
      <c r="G26" s="81"/>
      <c r="H26" s="81"/>
      <c r="I26" s="81"/>
      <c r="J26" s="81"/>
      <c r="K26" s="81"/>
      <c r="L26" s="81"/>
      <c r="M26" s="81"/>
      <c r="N26" s="81"/>
      <c r="O26" s="81"/>
      <c r="P26" s="81"/>
      <c r="Q26" s="81"/>
      <c r="R26" s="81"/>
      <c r="S26" s="81"/>
      <c r="T26" s="81"/>
      <c r="U26" s="81"/>
      <c r="V26" s="81"/>
      <c r="W26" s="81"/>
      <c r="X26" s="81"/>
      <c r="Y26" s="81"/>
      <c r="Z26" s="81"/>
    </row>
    <row r="27" ht="12.75" customHeight="1" spans="1:26">
      <c r="A27" s="81"/>
      <c r="B27" s="137"/>
      <c r="C27" s="81"/>
      <c r="D27" s="81"/>
      <c r="E27" s="81"/>
      <c r="F27" s="81"/>
      <c r="G27" s="81"/>
      <c r="H27" s="81"/>
      <c r="I27" s="81"/>
      <c r="J27" s="81"/>
      <c r="K27" s="81"/>
      <c r="L27" s="81"/>
      <c r="M27" s="81"/>
      <c r="N27" s="81"/>
      <c r="O27" s="81"/>
      <c r="P27" s="81"/>
      <c r="Q27" s="81"/>
      <c r="R27" s="81"/>
      <c r="S27" s="81"/>
      <c r="T27" s="81"/>
      <c r="U27" s="81"/>
      <c r="V27" s="81"/>
      <c r="W27" s="81"/>
      <c r="X27" s="81"/>
      <c r="Y27" s="81"/>
      <c r="Z27" s="81"/>
    </row>
    <row r="28" ht="12.75" customHeight="1" spans="1:26">
      <c r="A28" s="81"/>
      <c r="B28" s="137"/>
      <c r="C28" s="81"/>
      <c r="D28" s="81"/>
      <c r="E28" s="81"/>
      <c r="F28" s="81"/>
      <c r="G28" s="81"/>
      <c r="H28" s="81"/>
      <c r="I28" s="81"/>
      <c r="J28" s="81"/>
      <c r="K28" s="81"/>
      <c r="L28" s="81"/>
      <c r="M28" s="81"/>
      <c r="N28" s="81"/>
      <c r="O28" s="81"/>
      <c r="P28" s="81"/>
      <c r="Q28" s="81"/>
      <c r="R28" s="81"/>
      <c r="S28" s="81"/>
      <c r="T28" s="81"/>
      <c r="U28" s="81"/>
      <c r="V28" s="81"/>
      <c r="W28" s="81"/>
      <c r="X28" s="81"/>
      <c r="Y28" s="81"/>
      <c r="Z28" s="81"/>
    </row>
    <row r="29" ht="12.75" customHeight="1" spans="1:26">
      <c r="A29" s="81"/>
      <c r="B29" s="137"/>
      <c r="C29" s="81"/>
      <c r="D29" s="81"/>
      <c r="E29" s="81"/>
      <c r="F29" s="81"/>
      <c r="G29" s="81"/>
      <c r="H29" s="81"/>
      <c r="I29" s="81"/>
      <c r="J29" s="81"/>
      <c r="K29" s="81"/>
      <c r="L29" s="81"/>
      <c r="M29" s="81"/>
      <c r="N29" s="81"/>
      <c r="O29" s="81"/>
      <c r="P29" s="81"/>
      <c r="Q29" s="81"/>
      <c r="R29" s="81"/>
      <c r="S29" s="81"/>
      <c r="T29" s="81"/>
      <c r="U29" s="81"/>
      <c r="V29" s="81"/>
      <c r="W29" s="81"/>
      <c r="X29" s="81"/>
      <c r="Y29" s="81"/>
      <c r="Z29" s="81"/>
    </row>
    <row r="30" ht="12.75" customHeight="1" spans="1:26">
      <c r="A30" s="81"/>
      <c r="B30" s="137"/>
      <c r="C30" s="81"/>
      <c r="D30" s="81"/>
      <c r="E30" s="81"/>
      <c r="F30" s="81"/>
      <c r="G30" s="81"/>
      <c r="H30" s="81"/>
      <c r="I30" s="81"/>
      <c r="J30" s="81"/>
      <c r="K30" s="81"/>
      <c r="L30" s="81"/>
      <c r="M30" s="81"/>
      <c r="N30" s="81"/>
      <c r="O30" s="81"/>
      <c r="P30" s="81"/>
      <c r="Q30" s="81"/>
      <c r="R30" s="81"/>
      <c r="S30" s="81"/>
      <c r="T30" s="81"/>
      <c r="U30" s="81"/>
      <c r="V30" s="81"/>
      <c r="W30" s="81"/>
      <c r="X30" s="81"/>
      <c r="Y30" s="81"/>
      <c r="Z30" s="81"/>
    </row>
    <row r="31" ht="12.75" customHeight="1" spans="1:26">
      <c r="A31" s="81"/>
      <c r="B31" s="137"/>
      <c r="C31" s="81"/>
      <c r="D31" s="81"/>
      <c r="E31" s="81"/>
      <c r="F31" s="81"/>
      <c r="G31" s="81"/>
      <c r="H31" s="81"/>
      <c r="I31" s="81"/>
      <c r="J31" s="81"/>
      <c r="K31" s="81"/>
      <c r="L31" s="81"/>
      <c r="M31" s="81"/>
      <c r="N31" s="81"/>
      <c r="O31" s="81"/>
      <c r="P31" s="81"/>
      <c r="Q31" s="81"/>
      <c r="R31" s="81"/>
      <c r="S31" s="81"/>
      <c r="T31" s="81"/>
      <c r="U31" s="81"/>
      <c r="V31" s="81"/>
      <c r="W31" s="81"/>
      <c r="X31" s="81"/>
      <c r="Y31" s="81"/>
      <c r="Z31" s="81"/>
    </row>
    <row r="32" ht="12.75" customHeight="1" spans="1:26">
      <c r="A32" s="81"/>
      <c r="B32" s="137"/>
      <c r="C32" s="81"/>
      <c r="D32" s="81"/>
      <c r="E32" s="81"/>
      <c r="F32" s="81"/>
      <c r="G32" s="81"/>
      <c r="H32" s="81"/>
      <c r="I32" s="81"/>
      <c r="J32" s="81"/>
      <c r="K32" s="81"/>
      <c r="L32" s="81"/>
      <c r="M32" s="81"/>
      <c r="N32" s="81"/>
      <c r="O32" s="81"/>
      <c r="P32" s="81"/>
      <c r="Q32" s="81"/>
      <c r="R32" s="81"/>
      <c r="S32" s="81"/>
      <c r="T32" s="81"/>
      <c r="U32" s="81"/>
      <c r="V32" s="81"/>
      <c r="W32" s="81"/>
      <c r="X32" s="81"/>
      <c r="Y32" s="81"/>
      <c r="Z32" s="81"/>
    </row>
    <row r="33" ht="12.75" customHeight="1" spans="1:26">
      <c r="A33" s="81"/>
      <c r="B33" s="137"/>
      <c r="C33" s="81"/>
      <c r="D33" s="81"/>
      <c r="E33" s="81"/>
      <c r="F33" s="81"/>
      <c r="G33" s="81"/>
      <c r="H33" s="81"/>
      <c r="I33" s="81"/>
      <c r="J33" s="81"/>
      <c r="K33" s="81"/>
      <c r="L33" s="81"/>
      <c r="M33" s="81"/>
      <c r="N33" s="81"/>
      <c r="O33" s="81"/>
      <c r="P33" s="81"/>
      <c r="Q33" s="81"/>
      <c r="R33" s="81"/>
      <c r="S33" s="81"/>
      <c r="T33" s="81"/>
      <c r="U33" s="81"/>
      <c r="V33" s="81"/>
      <c r="W33" s="81"/>
      <c r="X33" s="81"/>
      <c r="Y33" s="81"/>
      <c r="Z33" s="81"/>
    </row>
    <row r="34" ht="12.75" customHeight="1" spans="1:26">
      <c r="A34" s="81"/>
      <c r="B34" s="137"/>
      <c r="C34" s="81"/>
      <c r="D34" s="81"/>
      <c r="E34" s="81"/>
      <c r="F34" s="81"/>
      <c r="G34" s="81"/>
      <c r="H34" s="81"/>
      <c r="I34" s="81"/>
      <c r="J34" s="81"/>
      <c r="K34" s="81"/>
      <c r="L34" s="81"/>
      <c r="M34" s="81"/>
      <c r="N34" s="81"/>
      <c r="O34" s="81"/>
      <c r="P34" s="81"/>
      <c r="Q34" s="81"/>
      <c r="R34" s="81"/>
      <c r="S34" s="81"/>
      <c r="T34" s="81"/>
      <c r="U34" s="81"/>
      <c r="V34" s="81"/>
      <c r="W34" s="81"/>
      <c r="X34" s="81"/>
      <c r="Y34" s="81"/>
      <c r="Z34" s="81"/>
    </row>
    <row r="35" ht="12.75" customHeight="1" spans="1:26">
      <c r="A35" s="81"/>
      <c r="B35" s="137"/>
      <c r="C35" s="81"/>
      <c r="D35" s="81"/>
      <c r="E35" s="81"/>
      <c r="F35" s="81"/>
      <c r="G35" s="81"/>
      <c r="H35" s="81"/>
      <c r="I35" s="81"/>
      <c r="J35" s="81"/>
      <c r="K35" s="81"/>
      <c r="L35" s="81"/>
      <c r="M35" s="81"/>
      <c r="N35" s="81"/>
      <c r="O35" s="81"/>
      <c r="P35" s="81"/>
      <c r="Q35" s="81"/>
      <c r="R35" s="81"/>
      <c r="S35" s="81"/>
      <c r="T35" s="81"/>
      <c r="U35" s="81"/>
      <c r="V35" s="81"/>
      <c r="W35" s="81"/>
      <c r="X35" s="81"/>
      <c r="Y35" s="81"/>
      <c r="Z35" s="81"/>
    </row>
    <row r="36" ht="12.75" customHeight="1" spans="1:26">
      <c r="A36" s="81"/>
      <c r="B36" s="137"/>
      <c r="C36" s="81"/>
      <c r="D36" s="81"/>
      <c r="E36" s="81"/>
      <c r="F36" s="81"/>
      <c r="G36" s="81"/>
      <c r="H36" s="81"/>
      <c r="I36" s="81"/>
      <c r="J36" s="81"/>
      <c r="K36" s="81"/>
      <c r="L36" s="81"/>
      <c r="M36" s="81"/>
      <c r="N36" s="81"/>
      <c r="O36" s="81"/>
      <c r="P36" s="81"/>
      <c r="Q36" s="81"/>
      <c r="R36" s="81"/>
      <c r="S36" s="81"/>
      <c r="T36" s="81"/>
      <c r="U36" s="81"/>
      <c r="V36" s="81"/>
      <c r="W36" s="81"/>
      <c r="X36" s="81"/>
      <c r="Y36" s="81"/>
      <c r="Z36" s="81"/>
    </row>
    <row r="37" ht="12.75" customHeight="1" spans="1:26">
      <c r="A37" s="81"/>
      <c r="B37" s="137"/>
      <c r="C37" s="81"/>
      <c r="D37" s="81"/>
      <c r="E37" s="81"/>
      <c r="F37" s="81"/>
      <c r="G37" s="81"/>
      <c r="H37" s="81"/>
      <c r="I37" s="81"/>
      <c r="J37" s="81"/>
      <c r="K37" s="81"/>
      <c r="L37" s="81"/>
      <c r="M37" s="81"/>
      <c r="N37" s="81"/>
      <c r="O37" s="81"/>
      <c r="P37" s="81"/>
      <c r="Q37" s="81"/>
      <c r="R37" s="81"/>
      <c r="S37" s="81"/>
      <c r="T37" s="81"/>
      <c r="U37" s="81"/>
      <c r="V37" s="81"/>
      <c r="W37" s="81"/>
      <c r="X37" s="81"/>
      <c r="Y37" s="81"/>
      <c r="Z37" s="81"/>
    </row>
    <row r="38" ht="12.75" customHeight="1" spans="1:26">
      <c r="A38" s="81"/>
      <c r="B38" s="137"/>
      <c r="C38" s="81"/>
      <c r="D38" s="81"/>
      <c r="E38" s="81"/>
      <c r="F38" s="81"/>
      <c r="G38" s="81"/>
      <c r="H38" s="81"/>
      <c r="I38" s="81"/>
      <c r="J38" s="81"/>
      <c r="K38" s="81"/>
      <c r="L38" s="81"/>
      <c r="M38" s="81"/>
      <c r="N38" s="81"/>
      <c r="O38" s="81"/>
      <c r="P38" s="81"/>
      <c r="Q38" s="81"/>
      <c r="R38" s="81"/>
      <c r="S38" s="81"/>
      <c r="T38" s="81"/>
      <c r="U38" s="81"/>
      <c r="V38" s="81"/>
      <c r="W38" s="81"/>
      <c r="X38" s="81"/>
      <c r="Y38" s="81"/>
      <c r="Z38" s="81"/>
    </row>
    <row r="39" ht="12.75" customHeight="1" spans="1:26">
      <c r="A39" s="81"/>
      <c r="B39" s="137"/>
      <c r="C39" s="81"/>
      <c r="D39" s="81"/>
      <c r="E39" s="81"/>
      <c r="F39" s="81"/>
      <c r="G39" s="81"/>
      <c r="H39" s="81"/>
      <c r="I39" s="81"/>
      <c r="J39" s="81"/>
      <c r="K39" s="81"/>
      <c r="L39" s="81"/>
      <c r="M39" s="81"/>
      <c r="N39" s="81"/>
      <c r="O39" s="81"/>
      <c r="P39" s="81"/>
      <c r="Q39" s="81"/>
      <c r="R39" s="81"/>
      <c r="S39" s="81"/>
      <c r="T39" s="81"/>
      <c r="U39" s="81"/>
      <c r="V39" s="81"/>
      <c r="W39" s="81"/>
      <c r="X39" s="81"/>
      <c r="Y39" s="81"/>
      <c r="Z39" s="81"/>
    </row>
    <row r="40" ht="12.75" customHeight="1" spans="1:26">
      <c r="A40" s="81"/>
      <c r="B40" s="137"/>
      <c r="C40" s="81"/>
      <c r="D40" s="81"/>
      <c r="E40" s="81"/>
      <c r="F40" s="81"/>
      <c r="G40" s="81"/>
      <c r="H40" s="81"/>
      <c r="I40" s="81"/>
      <c r="J40" s="81"/>
      <c r="K40" s="81"/>
      <c r="L40" s="81"/>
      <c r="M40" s="81"/>
      <c r="N40" s="81"/>
      <c r="O40" s="81"/>
      <c r="P40" s="81"/>
      <c r="Q40" s="81"/>
      <c r="R40" s="81"/>
      <c r="S40" s="81"/>
      <c r="T40" s="81"/>
      <c r="U40" s="81"/>
      <c r="V40" s="81"/>
      <c r="W40" s="81"/>
      <c r="X40" s="81"/>
      <c r="Y40" s="81"/>
      <c r="Z40" s="81"/>
    </row>
    <row r="41" ht="12.75" customHeight="1" spans="1:26">
      <c r="A41" s="81"/>
      <c r="B41" s="137"/>
      <c r="C41" s="81"/>
      <c r="D41" s="81"/>
      <c r="E41" s="81"/>
      <c r="F41" s="81"/>
      <c r="G41" s="81"/>
      <c r="H41" s="81"/>
      <c r="I41" s="81"/>
      <c r="J41" s="81"/>
      <c r="K41" s="81"/>
      <c r="L41" s="81"/>
      <c r="M41" s="81"/>
      <c r="N41" s="81"/>
      <c r="O41" s="81"/>
      <c r="P41" s="81"/>
      <c r="Q41" s="81"/>
      <c r="R41" s="81"/>
      <c r="S41" s="81"/>
      <c r="T41" s="81"/>
      <c r="U41" s="81"/>
      <c r="V41" s="81"/>
      <c r="W41" s="81"/>
      <c r="X41" s="81"/>
      <c r="Y41" s="81"/>
      <c r="Z41" s="81"/>
    </row>
    <row r="42" ht="12.75" customHeight="1" spans="1:26">
      <c r="A42" s="81"/>
      <c r="B42" s="137"/>
      <c r="C42" s="81"/>
      <c r="D42" s="81"/>
      <c r="E42" s="81"/>
      <c r="F42" s="81"/>
      <c r="G42" s="81"/>
      <c r="H42" s="81"/>
      <c r="I42" s="81"/>
      <c r="J42" s="81"/>
      <c r="K42" s="81"/>
      <c r="L42" s="81"/>
      <c r="M42" s="81"/>
      <c r="N42" s="81"/>
      <c r="O42" s="81"/>
      <c r="P42" s="81"/>
      <c r="Q42" s="81"/>
      <c r="R42" s="81"/>
      <c r="S42" s="81"/>
      <c r="T42" s="81"/>
      <c r="U42" s="81"/>
      <c r="V42" s="81"/>
      <c r="W42" s="81"/>
      <c r="X42" s="81"/>
      <c r="Y42" s="81"/>
      <c r="Z42" s="81"/>
    </row>
    <row r="43" ht="12.75" customHeight="1" spans="1:26">
      <c r="A43" s="81"/>
      <c r="B43" s="137"/>
      <c r="C43" s="81"/>
      <c r="D43" s="81"/>
      <c r="E43" s="81"/>
      <c r="F43" s="81"/>
      <c r="G43" s="81"/>
      <c r="H43" s="81"/>
      <c r="I43" s="81"/>
      <c r="J43" s="81"/>
      <c r="K43" s="81"/>
      <c r="L43" s="81"/>
      <c r="M43" s="81"/>
      <c r="N43" s="81"/>
      <c r="O43" s="81"/>
      <c r="P43" s="81"/>
      <c r="Q43" s="81"/>
      <c r="R43" s="81"/>
      <c r="S43" s="81"/>
      <c r="T43" s="81"/>
      <c r="U43" s="81"/>
      <c r="V43" s="81"/>
      <c r="W43" s="81"/>
      <c r="X43" s="81"/>
      <c r="Y43" s="81"/>
      <c r="Z43" s="81"/>
    </row>
    <row r="44" ht="12.75" customHeight="1" spans="1:26">
      <c r="A44" s="81"/>
      <c r="B44" s="137"/>
      <c r="C44" s="81"/>
      <c r="D44" s="81"/>
      <c r="E44" s="81"/>
      <c r="F44" s="81"/>
      <c r="G44" s="81"/>
      <c r="H44" s="81"/>
      <c r="I44" s="81"/>
      <c r="J44" s="81"/>
      <c r="K44" s="81"/>
      <c r="L44" s="81"/>
      <c r="M44" s="81"/>
      <c r="N44" s="81"/>
      <c r="O44" s="81"/>
      <c r="P44" s="81"/>
      <c r="Q44" s="81"/>
      <c r="R44" s="81"/>
      <c r="S44" s="81"/>
      <c r="T44" s="81"/>
      <c r="U44" s="81"/>
      <c r="V44" s="81"/>
      <c r="W44" s="81"/>
      <c r="X44" s="81"/>
      <c r="Y44" s="81"/>
      <c r="Z44" s="81"/>
    </row>
    <row r="45" ht="12.75" customHeight="1" spans="1:26">
      <c r="A45" s="81"/>
      <c r="B45" s="137"/>
      <c r="C45" s="81"/>
      <c r="D45" s="81"/>
      <c r="E45" s="81"/>
      <c r="F45" s="81"/>
      <c r="G45" s="81"/>
      <c r="H45" s="81"/>
      <c r="I45" s="81"/>
      <c r="J45" s="81"/>
      <c r="K45" s="81"/>
      <c r="L45" s="81"/>
      <c r="M45" s="81"/>
      <c r="N45" s="81"/>
      <c r="O45" s="81"/>
      <c r="P45" s="81"/>
      <c r="Q45" s="81"/>
      <c r="R45" s="81"/>
      <c r="S45" s="81"/>
      <c r="T45" s="81"/>
      <c r="U45" s="81"/>
      <c r="V45" s="81"/>
      <c r="W45" s="81"/>
      <c r="X45" s="81"/>
      <c r="Y45" s="81"/>
      <c r="Z45" s="81"/>
    </row>
    <row r="46" ht="12.75" customHeight="1" spans="1:26">
      <c r="A46" s="81"/>
      <c r="B46" s="137"/>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2.75" customHeight="1" spans="1:26">
      <c r="A47" s="81"/>
      <c r="B47" s="137"/>
      <c r="C47" s="81"/>
      <c r="D47" s="81"/>
      <c r="E47" s="81"/>
      <c r="F47" s="81"/>
      <c r="G47" s="81"/>
      <c r="H47" s="81"/>
      <c r="I47" s="81"/>
      <c r="J47" s="81"/>
      <c r="K47" s="81"/>
      <c r="L47" s="81"/>
      <c r="M47" s="81"/>
      <c r="N47" s="81"/>
      <c r="O47" s="81"/>
      <c r="P47" s="81"/>
      <c r="Q47" s="81"/>
      <c r="R47" s="81"/>
      <c r="S47" s="81"/>
      <c r="T47" s="81"/>
      <c r="U47" s="81"/>
      <c r="V47" s="81"/>
      <c r="W47" s="81"/>
      <c r="X47" s="81"/>
      <c r="Y47" s="81"/>
      <c r="Z47" s="81"/>
    </row>
    <row r="48" ht="12.75" customHeight="1" spans="1:26">
      <c r="A48" s="81"/>
      <c r="B48" s="137"/>
      <c r="C48" s="81"/>
      <c r="D48" s="81"/>
      <c r="E48" s="81"/>
      <c r="F48" s="81"/>
      <c r="G48" s="81"/>
      <c r="H48" s="81"/>
      <c r="I48" s="81"/>
      <c r="J48" s="81"/>
      <c r="K48" s="81"/>
      <c r="L48" s="81"/>
      <c r="M48" s="81"/>
      <c r="N48" s="81"/>
      <c r="O48" s="81"/>
      <c r="P48" s="81"/>
      <c r="Q48" s="81"/>
      <c r="R48" s="81"/>
      <c r="S48" s="81"/>
      <c r="T48" s="81"/>
      <c r="U48" s="81"/>
      <c r="V48" s="81"/>
      <c r="W48" s="81"/>
      <c r="X48" s="81"/>
      <c r="Y48" s="81"/>
      <c r="Z48" s="81"/>
    </row>
    <row r="49" ht="12.75" customHeight="1" spans="1:26">
      <c r="A49" s="81"/>
      <c r="B49" s="137"/>
      <c r="C49" s="81"/>
      <c r="D49" s="81"/>
      <c r="E49" s="81"/>
      <c r="F49" s="81"/>
      <c r="G49" s="81"/>
      <c r="H49" s="81"/>
      <c r="I49" s="81"/>
      <c r="J49" s="81"/>
      <c r="K49" s="81"/>
      <c r="L49" s="81"/>
      <c r="M49" s="81"/>
      <c r="N49" s="81"/>
      <c r="O49" s="81"/>
      <c r="P49" s="81"/>
      <c r="Q49" s="81"/>
      <c r="R49" s="81"/>
      <c r="S49" s="81"/>
      <c r="T49" s="81"/>
      <c r="U49" s="81"/>
      <c r="V49" s="81"/>
      <c r="W49" s="81"/>
      <c r="X49" s="81"/>
      <c r="Y49" s="81"/>
      <c r="Z49" s="81"/>
    </row>
    <row r="50" ht="12.75" customHeight="1" spans="1:26">
      <c r="A50" s="81"/>
      <c r="B50" s="137"/>
      <c r="C50" s="81"/>
      <c r="D50" s="81"/>
      <c r="E50" s="81"/>
      <c r="F50" s="81"/>
      <c r="G50" s="81"/>
      <c r="H50" s="81"/>
      <c r="I50" s="81"/>
      <c r="J50" s="81"/>
      <c r="K50" s="81"/>
      <c r="L50" s="81"/>
      <c r="M50" s="81"/>
      <c r="N50" s="81"/>
      <c r="O50" s="81"/>
      <c r="P50" s="81"/>
      <c r="Q50" s="81"/>
      <c r="R50" s="81"/>
      <c r="S50" s="81"/>
      <c r="T50" s="81"/>
      <c r="U50" s="81"/>
      <c r="V50" s="81"/>
      <c r="W50" s="81"/>
      <c r="X50" s="81"/>
      <c r="Y50" s="81"/>
      <c r="Z50" s="81"/>
    </row>
    <row r="51" ht="12.75" customHeight="1" spans="1:26">
      <c r="A51" s="81"/>
      <c r="B51" s="137"/>
      <c r="C51" s="81"/>
      <c r="D51" s="81"/>
      <c r="E51" s="81"/>
      <c r="F51" s="81"/>
      <c r="G51" s="81"/>
      <c r="H51" s="81"/>
      <c r="I51" s="81"/>
      <c r="J51" s="81"/>
      <c r="K51" s="81"/>
      <c r="L51" s="81"/>
      <c r="M51" s="81"/>
      <c r="N51" s="81"/>
      <c r="O51" s="81"/>
      <c r="P51" s="81"/>
      <c r="Q51" s="81"/>
      <c r="R51" s="81"/>
      <c r="S51" s="81"/>
      <c r="T51" s="81"/>
      <c r="U51" s="81"/>
      <c r="V51" s="81"/>
      <c r="W51" s="81"/>
      <c r="X51" s="81"/>
      <c r="Y51" s="81"/>
      <c r="Z51" s="81"/>
    </row>
    <row r="52" ht="12.75" customHeight="1" spans="1:26">
      <c r="A52" s="81"/>
      <c r="B52" s="137"/>
      <c r="C52" s="81"/>
      <c r="D52" s="81"/>
      <c r="E52" s="81"/>
      <c r="F52" s="81"/>
      <c r="G52" s="81"/>
      <c r="H52" s="81"/>
      <c r="I52" s="81"/>
      <c r="J52" s="81"/>
      <c r="K52" s="81"/>
      <c r="L52" s="81"/>
      <c r="M52" s="81"/>
      <c r="N52" s="81"/>
      <c r="O52" s="81"/>
      <c r="P52" s="81"/>
      <c r="Q52" s="81"/>
      <c r="R52" s="81"/>
      <c r="S52" s="81"/>
      <c r="T52" s="81"/>
      <c r="U52" s="81"/>
      <c r="V52" s="81"/>
      <c r="W52" s="81"/>
      <c r="X52" s="81"/>
      <c r="Y52" s="81"/>
      <c r="Z52" s="81"/>
    </row>
    <row r="53" ht="12.75" customHeight="1" spans="1:26">
      <c r="A53" s="81"/>
      <c r="B53" s="137"/>
      <c r="C53" s="81"/>
      <c r="D53" s="81"/>
      <c r="E53" s="81"/>
      <c r="F53" s="81"/>
      <c r="G53" s="81"/>
      <c r="H53" s="81"/>
      <c r="I53" s="81"/>
      <c r="J53" s="81"/>
      <c r="K53" s="81"/>
      <c r="L53" s="81"/>
      <c r="M53" s="81"/>
      <c r="N53" s="81"/>
      <c r="O53" s="81"/>
      <c r="P53" s="81"/>
      <c r="Q53" s="81"/>
      <c r="R53" s="81"/>
      <c r="S53" s="81"/>
      <c r="T53" s="81"/>
      <c r="U53" s="81"/>
      <c r="V53" s="81"/>
      <c r="W53" s="81"/>
      <c r="X53" s="81"/>
      <c r="Y53" s="81"/>
      <c r="Z53" s="81"/>
    </row>
    <row r="54" ht="12.75" customHeight="1" spans="1:26">
      <c r="A54" s="81"/>
      <c r="B54" s="137"/>
      <c r="C54" s="81"/>
      <c r="D54" s="81"/>
      <c r="E54" s="81"/>
      <c r="F54" s="81"/>
      <c r="G54" s="81"/>
      <c r="H54" s="81"/>
      <c r="I54" s="81"/>
      <c r="J54" s="81"/>
      <c r="K54" s="81"/>
      <c r="L54" s="81"/>
      <c r="M54" s="81"/>
      <c r="N54" s="81"/>
      <c r="O54" s="81"/>
      <c r="P54" s="81"/>
      <c r="Q54" s="81"/>
      <c r="R54" s="81"/>
      <c r="S54" s="81"/>
      <c r="T54" s="81"/>
      <c r="U54" s="81"/>
      <c r="V54" s="81"/>
      <c r="W54" s="81"/>
      <c r="X54" s="81"/>
      <c r="Y54" s="81"/>
      <c r="Z54" s="81"/>
    </row>
    <row r="55" ht="12.75" customHeight="1" spans="1:26">
      <c r="A55" s="81"/>
      <c r="B55" s="137"/>
      <c r="C55" s="81"/>
      <c r="D55" s="81"/>
      <c r="E55" s="81"/>
      <c r="F55" s="81"/>
      <c r="G55" s="81"/>
      <c r="H55" s="81"/>
      <c r="I55" s="81"/>
      <c r="J55" s="81"/>
      <c r="K55" s="81"/>
      <c r="L55" s="81"/>
      <c r="M55" s="81"/>
      <c r="N55" s="81"/>
      <c r="O55" s="81"/>
      <c r="P55" s="81"/>
      <c r="Q55" s="81"/>
      <c r="R55" s="81"/>
      <c r="S55" s="81"/>
      <c r="T55" s="81"/>
      <c r="U55" s="81"/>
      <c r="V55" s="81"/>
      <c r="W55" s="81"/>
      <c r="X55" s="81"/>
      <c r="Y55" s="81"/>
      <c r="Z55" s="81"/>
    </row>
    <row r="56" ht="12.75" customHeight="1" spans="1:26">
      <c r="A56" s="81"/>
      <c r="B56" s="137"/>
      <c r="C56" s="81"/>
      <c r="D56" s="81"/>
      <c r="E56" s="81"/>
      <c r="F56" s="81"/>
      <c r="G56" s="81"/>
      <c r="H56" s="81"/>
      <c r="I56" s="81"/>
      <c r="J56" s="81"/>
      <c r="K56" s="81"/>
      <c r="L56" s="81"/>
      <c r="M56" s="81"/>
      <c r="N56" s="81"/>
      <c r="O56" s="81"/>
      <c r="P56" s="81"/>
      <c r="Q56" s="81"/>
      <c r="R56" s="81"/>
      <c r="S56" s="81"/>
      <c r="T56" s="81"/>
      <c r="U56" s="81"/>
      <c r="V56" s="81"/>
      <c r="W56" s="81"/>
      <c r="X56" s="81"/>
      <c r="Y56" s="81"/>
      <c r="Z56" s="81"/>
    </row>
    <row r="57" ht="12.75" customHeight="1" spans="1:26">
      <c r="A57" s="81"/>
      <c r="B57" s="137"/>
      <c r="C57" s="81"/>
      <c r="D57" s="81"/>
      <c r="E57" s="81"/>
      <c r="F57" s="81"/>
      <c r="G57" s="81"/>
      <c r="H57" s="81"/>
      <c r="I57" s="81"/>
      <c r="J57" s="81"/>
      <c r="K57" s="81"/>
      <c r="L57" s="81"/>
      <c r="M57" s="81"/>
      <c r="N57" s="81"/>
      <c r="O57" s="81"/>
      <c r="P57" s="81"/>
      <c r="Q57" s="81"/>
      <c r="R57" s="81"/>
      <c r="S57" s="81"/>
      <c r="T57" s="81"/>
      <c r="U57" s="81"/>
      <c r="V57" s="81"/>
      <c r="W57" s="81"/>
      <c r="X57" s="81"/>
      <c r="Y57" s="81"/>
      <c r="Z57" s="81"/>
    </row>
    <row r="58" ht="12.75" customHeight="1" spans="1:26">
      <c r="A58" s="81"/>
      <c r="B58" s="137"/>
      <c r="C58" s="81"/>
      <c r="D58" s="81"/>
      <c r="E58" s="81"/>
      <c r="F58" s="81"/>
      <c r="G58" s="81"/>
      <c r="H58" s="81"/>
      <c r="I58" s="81"/>
      <c r="J58" s="81"/>
      <c r="K58" s="81"/>
      <c r="L58" s="81"/>
      <c r="M58" s="81"/>
      <c r="N58" s="81"/>
      <c r="O58" s="81"/>
      <c r="P58" s="81"/>
      <c r="Q58" s="81"/>
      <c r="R58" s="81"/>
      <c r="S58" s="81"/>
      <c r="T58" s="81"/>
      <c r="U58" s="81"/>
      <c r="V58" s="81"/>
      <c r="W58" s="81"/>
      <c r="X58" s="81"/>
      <c r="Y58" s="81"/>
      <c r="Z58" s="81"/>
    </row>
    <row r="59" ht="12.75" customHeight="1" spans="1:26">
      <c r="A59" s="81"/>
      <c r="B59" s="137"/>
      <c r="C59" s="81"/>
      <c r="D59" s="81"/>
      <c r="E59" s="81"/>
      <c r="F59" s="81"/>
      <c r="G59" s="81"/>
      <c r="H59" s="81"/>
      <c r="I59" s="81"/>
      <c r="J59" s="81"/>
      <c r="K59" s="81"/>
      <c r="L59" s="81"/>
      <c r="M59" s="81"/>
      <c r="N59" s="81"/>
      <c r="O59" s="81"/>
      <c r="P59" s="81"/>
      <c r="Q59" s="81"/>
      <c r="R59" s="81"/>
      <c r="S59" s="81"/>
      <c r="T59" s="81"/>
      <c r="U59" s="81"/>
      <c r="V59" s="81"/>
      <c r="W59" s="81"/>
      <c r="X59" s="81"/>
      <c r="Y59" s="81"/>
      <c r="Z59" s="81"/>
    </row>
    <row r="60" ht="12.75" customHeight="1" spans="1:26">
      <c r="A60" s="81"/>
      <c r="B60" s="137"/>
      <c r="C60" s="81"/>
      <c r="D60" s="81"/>
      <c r="E60" s="81"/>
      <c r="F60" s="81"/>
      <c r="G60" s="81"/>
      <c r="H60" s="81"/>
      <c r="I60" s="81"/>
      <c r="J60" s="81"/>
      <c r="K60" s="81"/>
      <c r="L60" s="81"/>
      <c r="M60" s="81"/>
      <c r="N60" s="81"/>
      <c r="O60" s="81"/>
      <c r="P60" s="81"/>
      <c r="Q60" s="81"/>
      <c r="R60" s="81"/>
      <c r="S60" s="81"/>
      <c r="T60" s="81"/>
      <c r="U60" s="81"/>
      <c r="V60" s="81"/>
      <c r="W60" s="81"/>
      <c r="X60" s="81"/>
      <c r="Y60" s="81"/>
      <c r="Z60" s="81"/>
    </row>
    <row r="61" ht="12.75" customHeight="1" spans="1:26">
      <c r="A61" s="81"/>
      <c r="B61" s="137"/>
      <c r="C61" s="81"/>
      <c r="D61" s="81"/>
      <c r="E61" s="81"/>
      <c r="F61" s="81"/>
      <c r="G61" s="81"/>
      <c r="H61" s="81"/>
      <c r="I61" s="81"/>
      <c r="J61" s="81"/>
      <c r="K61" s="81"/>
      <c r="L61" s="81"/>
      <c r="M61" s="81"/>
      <c r="N61" s="81"/>
      <c r="O61" s="81"/>
      <c r="P61" s="81"/>
      <c r="Q61" s="81"/>
      <c r="R61" s="81"/>
      <c r="S61" s="81"/>
      <c r="T61" s="81"/>
      <c r="U61" s="81"/>
      <c r="V61" s="81"/>
      <c r="W61" s="81"/>
      <c r="X61" s="81"/>
      <c r="Y61" s="81"/>
      <c r="Z61" s="81"/>
    </row>
    <row r="62" ht="12.75" customHeight="1" spans="1:26">
      <c r="A62" s="81"/>
      <c r="B62" s="137"/>
      <c r="C62" s="81"/>
      <c r="D62" s="81"/>
      <c r="E62" s="81"/>
      <c r="F62" s="81"/>
      <c r="G62" s="81"/>
      <c r="H62" s="81"/>
      <c r="I62" s="81"/>
      <c r="J62" s="81"/>
      <c r="K62" s="81"/>
      <c r="L62" s="81"/>
      <c r="M62" s="81"/>
      <c r="N62" s="81"/>
      <c r="O62" s="81"/>
      <c r="P62" s="81"/>
      <c r="Q62" s="81"/>
      <c r="R62" s="81"/>
      <c r="S62" s="81"/>
      <c r="T62" s="81"/>
      <c r="U62" s="81"/>
      <c r="V62" s="81"/>
      <c r="W62" s="81"/>
      <c r="X62" s="81"/>
      <c r="Y62" s="81"/>
      <c r="Z62" s="81"/>
    </row>
    <row r="63" ht="12.75" customHeight="1" spans="1:26">
      <c r="A63" s="81"/>
      <c r="B63" s="137"/>
      <c r="C63" s="81"/>
      <c r="D63" s="81"/>
      <c r="E63" s="81"/>
      <c r="F63" s="81"/>
      <c r="G63" s="81"/>
      <c r="H63" s="81"/>
      <c r="I63" s="81"/>
      <c r="J63" s="81"/>
      <c r="K63" s="81"/>
      <c r="L63" s="81"/>
      <c r="M63" s="81"/>
      <c r="N63" s="81"/>
      <c r="O63" s="81"/>
      <c r="P63" s="81"/>
      <c r="Q63" s="81"/>
      <c r="R63" s="81"/>
      <c r="S63" s="81"/>
      <c r="T63" s="81"/>
      <c r="U63" s="81"/>
      <c r="V63" s="81"/>
      <c r="W63" s="81"/>
      <c r="X63" s="81"/>
      <c r="Y63" s="81"/>
      <c r="Z63" s="81"/>
    </row>
    <row r="64" ht="12.75" customHeight="1" spans="1:26">
      <c r="A64" s="81"/>
      <c r="B64" s="137"/>
      <c r="C64" s="81"/>
      <c r="D64" s="81"/>
      <c r="E64" s="81"/>
      <c r="F64" s="81"/>
      <c r="G64" s="81"/>
      <c r="H64" s="81"/>
      <c r="I64" s="81"/>
      <c r="J64" s="81"/>
      <c r="K64" s="81"/>
      <c r="L64" s="81"/>
      <c r="M64" s="81"/>
      <c r="N64" s="81"/>
      <c r="O64" s="81"/>
      <c r="P64" s="81"/>
      <c r="Q64" s="81"/>
      <c r="R64" s="81"/>
      <c r="S64" s="81"/>
      <c r="T64" s="81"/>
      <c r="U64" s="81"/>
      <c r="V64" s="81"/>
      <c r="W64" s="81"/>
      <c r="X64" s="81"/>
      <c r="Y64" s="81"/>
      <c r="Z64" s="81"/>
    </row>
    <row r="65" ht="12.75" customHeight="1" spans="1:26">
      <c r="A65" s="81"/>
      <c r="B65" s="137"/>
      <c r="C65" s="81"/>
      <c r="D65" s="81"/>
      <c r="E65" s="81"/>
      <c r="F65" s="81"/>
      <c r="G65" s="81"/>
      <c r="H65" s="81"/>
      <c r="I65" s="81"/>
      <c r="J65" s="81"/>
      <c r="K65" s="81"/>
      <c r="L65" s="81"/>
      <c r="M65" s="81"/>
      <c r="N65" s="81"/>
      <c r="O65" s="81"/>
      <c r="P65" s="81"/>
      <c r="Q65" s="81"/>
      <c r="R65" s="81"/>
      <c r="S65" s="81"/>
      <c r="T65" s="81"/>
      <c r="U65" s="81"/>
      <c r="V65" s="81"/>
      <c r="W65" s="81"/>
      <c r="X65" s="81"/>
      <c r="Y65" s="81"/>
      <c r="Z65" s="81"/>
    </row>
    <row r="66" ht="12.75" customHeight="1" spans="1:26">
      <c r="A66" s="81"/>
      <c r="B66" s="137"/>
      <c r="C66" s="81"/>
      <c r="D66" s="81"/>
      <c r="E66" s="81"/>
      <c r="F66" s="81"/>
      <c r="G66" s="81"/>
      <c r="H66" s="81"/>
      <c r="I66" s="81"/>
      <c r="J66" s="81"/>
      <c r="K66" s="81"/>
      <c r="L66" s="81"/>
      <c r="M66" s="81"/>
      <c r="N66" s="81"/>
      <c r="O66" s="81"/>
      <c r="P66" s="81"/>
      <c r="Q66" s="81"/>
      <c r="R66" s="81"/>
      <c r="S66" s="81"/>
      <c r="T66" s="81"/>
      <c r="U66" s="81"/>
      <c r="V66" s="81"/>
      <c r="W66" s="81"/>
      <c r="X66" s="81"/>
      <c r="Y66" s="81"/>
      <c r="Z66" s="81"/>
    </row>
    <row r="67" ht="12.75" customHeight="1" spans="1:26">
      <c r="A67" s="81"/>
      <c r="B67" s="137"/>
      <c r="C67" s="81"/>
      <c r="D67" s="81"/>
      <c r="E67" s="81"/>
      <c r="F67" s="81"/>
      <c r="G67" s="81"/>
      <c r="H67" s="81"/>
      <c r="I67" s="81"/>
      <c r="J67" s="81"/>
      <c r="K67" s="81"/>
      <c r="L67" s="81"/>
      <c r="M67" s="81"/>
      <c r="N67" s="81"/>
      <c r="O67" s="81"/>
      <c r="P67" s="81"/>
      <c r="Q67" s="81"/>
      <c r="R67" s="81"/>
      <c r="S67" s="81"/>
      <c r="T67" s="81"/>
      <c r="U67" s="81"/>
      <c r="V67" s="81"/>
      <c r="W67" s="81"/>
      <c r="X67" s="81"/>
      <c r="Y67" s="81"/>
      <c r="Z67" s="81"/>
    </row>
    <row r="68" ht="12.75" customHeight="1" spans="1:26">
      <c r="A68" s="81"/>
      <c r="B68" s="137"/>
      <c r="C68" s="81"/>
      <c r="D68" s="81"/>
      <c r="E68" s="81"/>
      <c r="F68" s="81"/>
      <c r="G68" s="81"/>
      <c r="H68" s="81"/>
      <c r="I68" s="81"/>
      <c r="J68" s="81"/>
      <c r="K68" s="81"/>
      <c r="L68" s="81"/>
      <c r="M68" s="81"/>
      <c r="N68" s="81"/>
      <c r="O68" s="81"/>
      <c r="P68" s="81"/>
      <c r="Q68" s="81"/>
      <c r="R68" s="81"/>
      <c r="S68" s="81"/>
      <c r="T68" s="81"/>
      <c r="U68" s="81"/>
      <c r="V68" s="81"/>
      <c r="W68" s="81"/>
      <c r="X68" s="81"/>
      <c r="Y68" s="81"/>
      <c r="Z68" s="81"/>
    </row>
    <row r="69" ht="12.75" customHeight="1" spans="1:26">
      <c r="A69" s="81"/>
      <c r="B69" s="137"/>
      <c r="C69" s="81"/>
      <c r="D69" s="81"/>
      <c r="E69" s="81"/>
      <c r="F69" s="81"/>
      <c r="G69" s="81"/>
      <c r="H69" s="81"/>
      <c r="I69" s="81"/>
      <c r="J69" s="81"/>
      <c r="K69" s="81"/>
      <c r="L69" s="81"/>
      <c r="M69" s="81"/>
      <c r="N69" s="81"/>
      <c r="O69" s="81"/>
      <c r="P69" s="81"/>
      <c r="Q69" s="81"/>
      <c r="R69" s="81"/>
      <c r="S69" s="81"/>
      <c r="T69" s="81"/>
      <c r="U69" s="81"/>
      <c r="V69" s="81"/>
      <c r="W69" s="81"/>
      <c r="X69" s="81"/>
      <c r="Y69" s="81"/>
      <c r="Z69" s="81"/>
    </row>
    <row r="70" ht="12.75" customHeight="1" spans="1:26">
      <c r="A70" s="81"/>
      <c r="B70" s="137"/>
      <c r="C70" s="81"/>
      <c r="D70" s="81"/>
      <c r="E70" s="81"/>
      <c r="F70" s="81"/>
      <c r="G70" s="81"/>
      <c r="H70" s="81"/>
      <c r="I70" s="81"/>
      <c r="J70" s="81"/>
      <c r="K70" s="81"/>
      <c r="L70" s="81"/>
      <c r="M70" s="81"/>
      <c r="N70" s="81"/>
      <c r="O70" s="81"/>
      <c r="P70" s="81"/>
      <c r="Q70" s="81"/>
      <c r="R70" s="81"/>
      <c r="S70" s="81"/>
      <c r="T70" s="81"/>
      <c r="U70" s="81"/>
      <c r="V70" s="81"/>
      <c r="W70" s="81"/>
      <c r="X70" s="81"/>
      <c r="Y70" s="81"/>
      <c r="Z70" s="81"/>
    </row>
    <row r="71" ht="12.75" customHeight="1" spans="1:26">
      <c r="A71" s="81"/>
      <c r="B71" s="137"/>
      <c r="C71" s="81"/>
      <c r="D71" s="81"/>
      <c r="E71" s="81"/>
      <c r="F71" s="81"/>
      <c r="G71" s="81"/>
      <c r="H71" s="81"/>
      <c r="I71" s="81"/>
      <c r="J71" s="81"/>
      <c r="K71" s="81"/>
      <c r="L71" s="81"/>
      <c r="M71" s="81"/>
      <c r="N71" s="81"/>
      <c r="O71" s="81"/>
      <c r="P71" s="81"/>
      <c r="Q71" s="81"/>
      <c r="R71" s="81"/>
      <c r="S71" s="81"/>
      <c r="T71" s="81"/>
      <c r="U71" s="81"/>
      <c r="V71" s="81"/>
      <c r="W71" s="81"/>
      <c r="X71" s="81"/>
      <c r="Y71" s="81"/>
      <c r="Z71" s="81"/>
    </row>
    <row r="72" ht="12.75" customHeight="1" spans="1:26">
      <c r="A72" s="81"/>
      <c r="B72" s="137"/>
      <c r="C72" s="81"/>
      <c r="D72" s="81"/>
      <c r="E72" s="81"/>
      <c r="F72" s="81"/>
      <c r="G72" s="81"/>
      <c r="H72" s="81"/>
      <c r="I72" s="81"/>
      <c r="J72" s="81"/>
      <c r="K72" s="81"/>
      <c r="L72" s="81"/>
      <c r="M72" s="81"/>
      <c r="N72" s="81"/>
      <c r="O72" s="81"/>
      <c r="P72" s="81"/>
      <c r="Q72" s="81"/>
      <c r="R72" s="81"/>
      <c r="S72" s="81"/>
      <c r="T72" s="81"/>
      <c r="U72" s="81"/>
      <c r="V72" s="81"/>
      <c r="W72" s="81"/>
      <c r="X72" s="81"/>
      <c r="Y72" s="81"/>
      <c r="Z72" s="81"/>
    </row>
    <row r="73" ht="12.75" customHeight="1" spans="1:26">
      <c r="A73" s="81"/>
      <c r="B73" s="137"/>
      <c r="C73" s="81"/>
      <c r="D73" s="81"/>
      <c r="E73" s="81"/>
      <c r="F73" s="81"/>
      <c r="G73" s="81"/>
      <c r="H73" s="81"/>
      <c r="I73" s="81"/>
      <c r="J73" s="81"/>
      <c r="K73" s="81"/>
      <c r="L73" s="81"/>
      <c r="M73" s="81"/>
      <c r="N73" s="81"/>
      <c r="O73" s="81"/>
      <c r="P73" s="81"/>
      <c r="Q73" s="81"/>
      <c r="R73" s="81"/>
      <c r="S73" s="81"/>
      <c r="T73" s="81"/>
      <c r="U73" s="81"/>
      <c r="V73" s="81"/>
      <c r="W73" s="81"/>
      <c r="X73" s="81"/>
      <c r="Y73" s="81"/>
      <c r="Z73" s="81"/>
    </row>
    <row r="74" ht="12.75" customHeight="1" spans="1:26">
      <c r="A74" s="81"/>
      <c r="B74" s="137"/>
      <c r="C74" s="81"/>
      <c r="D74" s="81"/>
      <c r="E74" s="81"/>
      <c r="F74" s="81"/>
      <c r="G74" s="81"/>
      <c r="H74" s="81"/>
      <c r="I74" s="81"/>
      <c r="J74" s="81"/>
      <c r="K74" s="81"/>
      <c r="L74" s="81"/>
      <c r="M74" s="81"/>
      <c r="N74" s="81"/>
      <c r="O74" s="81"/>
      <c r="P74" s="81"/>
      <c r="Q74" s="81"/>
      <c r="R74" s="81"/>
      <c r="S74" s="81"/>
      <c r="T74" s="81"/>
      <c r="U74" s="81"/>
      <c r="V74" s="81"/>
      <c r="W74" s="81"/>
      <c r="X74" s="81"/>
      <c r="Y74" s="81"/>
      <c r="Z74" s="81"/>
    </row>
    <row r="75" ht="12.75" customHeight="1" spans="1:26">
      <c r="A75" s="81"/>
      <c r="B75" s="137"/>
      <c r="C75" s="81"/>
      <c r="D75" s="81"/>
      <c r="E75" s="81"/>
      <c r="F75" s="81"/>
      <c r="G75" s="81"/>
      <c r="H75" s="81"/>
      <c r="I75" s="81"/>
      <c r="J75" s="81"/>
      <c r="K75" s="81"/>
      <c r="L75" s="81"/>
      <c r="M75" s="81"/>
      <c r="N75" s="81"/>
      <c r="O75" s="81"/>
      <c r="P75" s="81"/>
      <c r="Q75" s="81"/>
      <c r="R75" s="81"/>
      <c r="S75" s="81"/>
      <c r="T75" s="81"/>
      <c r="U75" s="81"/>
      <c r="V75" s="81"/>
      <c r="W75" s="81"/>
      <c r="X75" s="81"/>
      <c r="Y75" s="81"/>
      <c r="Z75" s="81"/>
    </row>
    <row r="76" ht="12.75" customHeight="1" spans="1:26">
      <c r="A76" s="81"/>
      <c r="B76" s="137"/>
      <c r="C76" s="81"/>
      <c r="D76" s="81"/>
      <c r="E76" s="81"/>
      <c r="F76" s="81"/>
      <c r="G76" s="81"/>
      <c r="H76" s="81"/>
      <c r="I76" s="81"/>
      <c r="J76" s="81"/>
      <c r="K76" s="81"/>
      <c r="L76" s="81"/>
      <c r="M76" s="81"/>
      <c r="N76" s="81"/>
      <c r="O76" s="81"/>
      <c r="P76" s="81"/>
      <c r="Q76" s="81"/>
      <c r="R76" s="81"/>
      <c r="S76" s="81"/>
      <c r="T76" s="81"/>
      <c r="U76" s="81"/>
      <c r="V76" s="81"/>
      <c r="W76" s="81"/>
      <c r="X76" s="81"/>
      <c r="Y76" s="81"/>
      <c r="Z76" s="81"/>
    </row>
    <row r="77" ht="12.75" customHeight="1" spans="1:26">
      <c r="A77" s="81"/>
      <c r="B77" s="137"/>
      <c r="C77" s="81"/>
      <c r="D77" s="81"/>
      <c r="E77" s="81"/>
      <c r="F77" s="81"/>
      <c r="G77" s="81"/>
      <c r="H77" s="81"/>
      <c r="I77" s="81"/>
      <c r="J77" s="81"/>
      <c r="K77" s="81"/>
      <c r="L77" s="81"/>
      <c r="M77" s="81"/>
      <c r="N77" s="81"/>
      <c r="O77" s="81"/>
      <c r="P77" s="81"/>
      <c r="Q77" s="81"/>
      <c r="R77" s="81"/>
      <c r="S77" s="81"/>
      <c r="T77" s="81"/>
      <c r="U77" s="81"/>
      <c r="V77" s="81"/>
      <c r="W77" s="81"/>
      <c r="X77" s="81"/>
      <c r="Y77" s="81"/>
      <c r="Z77" s="81"/>
    </row>
    <row r="78" ht="12.75" customHeight="1" spans="1:26">
      <c r="A78" s="81"/>
      <c r="B78" s="137"/>
      <c r="C78" s="81"/>
      <c r="D78" s="81"/>
      <c r="E78" s="81"/>
      <c r="F78" s="81"/>
      <c r="G78" s="81"/>
      <c r="H78" s="81"/>
      <c r="I78" s="81"/>
      <c r="J78" s="81"/>
      <c r="K78" s="81"/>
      <c r="L78" s="81"/>
      <c r="M78" s="81"/>
      <c r="N78" s="81"/>
      <c r="O78" s="81"/>
      <c r="P78" s="81"/>
      <c r="Q78" s="81"/>
      <c r="R78" s="81"/>
      <c r="S78" s="81"/>
      <c r="T78" s="81"/>
      <c r="U78" s="81"/>
      <c r="V78" s="81"/>
      <c r="W78" s="81"/>
      <c r="X78" s="81"/>
      <c r="Y78" s="81"/>
      <c r="Z78" s="81"/>
    </row>
    <row r="79" ht="12.75" customHeight="1" spans="1:26">
      <c r="A79" s="81"/>
      <c r="B79" s="137"/>
      <c r="C79" s="81"/>
      <c r="D79" s="81"/>
      <c r="E79" s="81"/>
      <c r="F79" s="81"/>
      <c r="G79" s="81"/>
      <c r="H79" s="81"/>
      <c r="I79" s="81"/>
      <c r="J79" s="81"/>
      <c r="K79" s="81"/>
      <c r="L79" s="81"/>
      <c r="M79" s="81"/>
      <c r="N79" s="81"/>
      <c r="O79" s="81"/>
      <c r="P79" s="81"/>
      <c r="Q79" s="81"/>
      <c r="R79" s="81"/>
      <c r="S79" s="81"/>
      <c r="T79" s="81"/>
      <c r="U79" s="81"/>
      <c r="V79" s="81"/>
      <c r="W79" s="81"/>
      <c r="X79" s="81"/>
      <c r="Y79" s="81"/>
      <c r="Z79" s="81"/>
    </row>
    <row r="80" ht="12.75" customHeight="1" spans="1:26">
      <c r="A80" s="81"/>
      <c r="B80" s="137"/>
      <c r="C80" s="81"/>
      <c r="D80" s="81"/>
      <c r="E80" s="81"/>
      <c r="F80" s="81"/>
      <c r="G80" s="81"/>
      <c r="H80" s="81"/>
      <c r="I80" s="81"/>
      <c r="J80" s="81"/>
      <c r="K80" s="81"/>
      <c r="L80" s="81"/>
      <c r="M80" s="81"/>
      <c r="N80" s="81"/>
      <c r="O80" s="81"/>
      <c r="P80" s="81"/>
      <c r="Q80" s="81"/>
      <c r="R80" s="81"/>
      <c r="S80" s="81"/>
      <c r="T80" s="81"/>
      <c r="U80" s="81"/>
      <c r="V80" s="81"/>
      <c r="W80" s="81"/>
      <c r="X80" s="81"/>
      <c r="Y80" s="81"/>
      <c r="Z80" s="81"/>
    </row>
    <row r="81" ht="12.75" customHeight="1" spans="1:26">
      <c r="A81" s="81"/>
      <c r="B81" s="137"/>
      <c r="C81" s="81"/>
      <c r="D81" s="81"/>
      <c r="E81" s="81"/>
      <c r="F81" s="81"/>
      <c r="G81" s="81"/>
      <c r="H81" s="81"/>
      <c r="I81" s="81"/>
      <c r="J81" s="81"/>
      <c r="K81" s="81"/>
      <c r="L81" s="81"/>
      <c r="M81" s="81"/>
      <c r="N81" s="81"/>
      <c r="O81" s="81"/>
      <c r="P81" s="81"/>
      <c r="Q81" s="81"/>
      <c r="R81" s="81"/>
      <c r="S81" s="81"/>
      <c r="T81" s="81"/>
      <c r="U81" s="81"/>
      <c r="V81" s="81"/>
      <c r="W81" s="81"/>
      <c r="X81" s="81"/>
      <c r="Y81" s="81"/>
      <c r="Z81" s="81"/>
    </row>
    <row r="82" ht="12.75" customHeight="1" spans="1:26">
      <c r="A82" s="81"/>
      <c r="B82" s="137"/>
      <c r="C82" s="81"/>
      <c r="D82" s="81"/>
      <c r="E82" s="81"/>
      <c r="F82" s="81"/>
      <c r="G82" s="81"/>
      <c r="H82" s="81"/>
      <c r="I82" s="81"/>
      <c r="J82" s="81"/>
      <c r="K82" s="81"/>
      <c r="L82" s="81"/>
      <c r="M82" s="81"/>
      <c r="N82" s="81"/>
      <c r="O82" s="81"/>
      <c r="P82" s="81"/>
      <c r="Q82" s="81"/>
      <c r="R82" s="81"/>
      <c r="S82" s="81"/>
      <c r="T82" s="81"/>
      <c r="U82" s="81"/>
      <c r="V82" s="81"/>
      <c r="W82" s="81"/>
      <c r="X82" s="81"/>
      <c r="Y82" s="81"/>
      <c r="Z82" s="81"/>
    </row>
    <row r="83" ht="12.75" customHeight="1" spans="1:26">
      <c r="A83" s="81"/>
      <c r="B83" s="137"/>
      <c r="C83" s="81"/>
      <c r="D83" s="81"/>
      <c r="E83" s="81"/>
      <c r="F83" s="81"/>
      <c r="G83" s="81"/>
      <c r="H83" s="81"/>
      <c r="I83" s="81"/>
      <c r="J83" s="81"/>
      <c r="K83" s="81"/>
      <c r="L83" s="81"/>
      <c r="M83" s="81"/>
      <c r="N83" s="81"/>
      <c r="O83" s="81"/>
      <c r="P83" s="81"/>
      <c r="Q83" s="81"/>
      <c r="R83" s="81"/>
      <c r="S83" s="81"/>
      <c r="T83" s="81"/>
      <c r="U83" s="81"/>
      <c r="V83" s="81"/>
      <c r="W83" s="81"/>
      <c r="X83" s="81"/>
      <c r="Y83" s="81"/>
      <c r="Z83" s="81"/>
    </row>
    <row r="84" ht="12.75" customHeight="1" spans="1:26">
      <c r="A84" s="81"/>
      <c r="B84" s="137"/>
      <c r="C84" s="81"/>
      <c r="D84" s="81"/>
      <c r="E84" s="81"/>
      <c r="F84" s="81"/>
      <c r="G84" s="81"/>
      <c r="H84" s="81"/>
      <c r="I84" s="81"/>
      <c r="J84" s="81"/>
      <c r="K84" s="81"/>
      <c r="L84" s="81"/>
      <c r="M84" s="81"/>
      <c r="N84" s="81"/>
      <c r="O84" s="81"/>
      <c r="P84" s="81"/>
      <c r="Q84" s="81"/>
      <c r="R84" s="81"/>
      <c r="S84" s="81"/>
      <c r="T84" s="81"/>
      <c r="U84" s="81"/>
      <c r="V84" s="81"/>
      <c r="W84" s="81"/>
      <c r="X84" s="81"/>
      <c r="Y84" s="81"/>
      <c r="Z84" s="81"/>
    </row>
    <row r="85" ht="12.75" customHeight="1" spans="1:26">
      <c r="A85" s="81"/>
      <c r="B85" s="137"/>
      <c r="C85" s="81"/>
      <c r="D85" s="81"/>
      <c r="E85" s="81"/>
      <c r="F85" s="81"/>
      <c r="G85" s="81"/>
      <c r="H85" s="81"/>
      <c r="I85" s="81"/>
      <c r="J85" s="81"/>
      <c r="K85" s="81"/>
      <c r="L85" s="81"/>
      <c r="M85" s="81"/>
      <c r="N85" s="81"/>
      <c r="O85" s="81"/>
      <c r="P85" s="81"/>
      <c r="Q85" s="81"/>
      <c r="R85" s="81"/>
      <c r="S85" s="81"/>
      <c r="T85" s="81"/>
      <c r="U85" s="81"/>
      <c r="V85" s="81"/>
      <c r="W85" s="81"/>
      <c r="X85" s="81"/>
      <c r="Y85" s="81"/>
      <c r="Z85" s="81"/>
    </row>
    <row r="86" ht="12.75" customHeight="1" spans="1:26">
      <c r="A86" s="81"/>
      <c r="B86" s="137"/>
      <c r="C86" s="81"/>
      <c r="D86" s="81"/>
      <c r="E86" s="81"/>
      <c r="F86" s="81"/>
      <c r="G86" s="81"/>
      <c r="H86" s="81"/>
      <c r="I86" s="81"/>
      <c r="J86" s="81"/>
      <c r="K86" s="81"/>
      <c r="L86" s="81"/>
      <c r="M86" s="81"/>
      <c r="N86" s="81"/>
      <c r="O86" s="81"/>
      <c r="P86" s="81"/>
      <c r="Q86" s="81"/>
      <c r="R86" s="81"/>
      <c r="S86" s="81"/>
      <c r="T86" s="81"/>
      <c r="U86" s="81"/>
      <c r="V86" s="81"/>
      <c r="W86" s="81"/>
      <c r="X86" s="81"/>
      <c r="Y86" s="81"/>
      <c r="Z86" s="81"/>
    </row>
    <row r="87" ht="12.75" customHeight="1" spans="1:26">
      <c r="A87" s="81"/>
      <c r="B87" s="137"/>
      <c r="C87" s="81"/>
      <c r="D87" s="81"/>
      <c r="E87" s="81"/>
      <c r="F87" s="81"/>
      <c r="G87" s="81"/>
      <c r="H87" s="81"/>
      <c r="I87" s="81"/>
      <c r="J87" s="81"/>
      <c r="K87" s="81"/>
      <c r="L87" s="81"/>
      <c r="M87" s="81"/>
      <c r="N87" s="81"/>
      <c r="O87" s="81"/>
      <c r="P87" s="81"/>
      <c r="Q87" s="81"/>
      <c r="R87" s="81"/>
      <c r="S87" s="81"/>
      <c r="T87" s="81"/>
      <c r="U87" s="81"/>
      <c r="V87" s="81"/>
      <c r="W87" s="81"/>
      <c r="X87" s="81"/>
      <c r="Y87" s="81"/>
      <c r="Z87" s="81"/>
    </row>
    <row r="88" ht="12.75" customHeight="1" spans="1:26">
      <c r="A88" s="81"/>
      <c r="B88" s="137"/>
      <c r="C88" s="81"/>
      <c r="D88" s="81"/>
      <c r="E88" s="81"/>
      <c r="F88" s="81"/>
      <c r="G88" s="81"/>
      <c r="H88" s="81"/>
      <c r="I88" s="81"/>
      <c r="J88" s="81"/>
      <c r="K88" s="81"/>
      <c r="L88" s="81"/>
      <c r="M88" s="81"/>
      <c r="N88" s="81"/>
      <c r="O88" s="81"/>
      <c r="P88" s="81"/>
      <c r="Q88" s="81"/>
      <c r="R88" s="81"/>
      <c r="S88" s="81"/>
      <c r="T88" s="81"/>
      <c r="U88" s="81"/>
      <c r="V88" s="81"/>
      <c r="W88" s="81"/>
      <c r="X88" s="81"/>
      <c r="Y88" s="81"/>
      <c r="Z88" s="81"/>
    </row>
    <row r="89" ht="12.75" customHeight="1" spans="1:26">
      <c r="A89" s="81"/>
      <c r="B89" s="137"/>
      <c r="C89" s="81"/>
      <c r="D89" s="81"/>
      <c r="E89" s="81"/>
      <c r="F89" s="81"/>
      <c r="G89" s="81"/>
      <c r="H89" s="81"/>
      <c r="I89" s="81"/>
      <c r="J89" s="81"/>
      <c r="K89" s="81"/>
      <c r="L89" s="81"/>
      <c r="M89" s="81"/>
      <c r="N89" s="81"/>
      <c r="O89" s="81"/>
      <c r="P89" s="81"/>
      <c r="Q89" s="81"/>
      <c r="R89" s="81"/>
      <c r="S89" s="81"/>
      <c r="T89" s="81"/>
      <c r="U89" s="81"/>
      <c r="V89" s="81"/>
      <c r="W89" s="81"/>
      <c r="X89" s="81"/>
      <c r="Y89" s="81"/>
      <c r="Z89" s="81"/>
    </row>
    <row r="90" ht="12.75" customHeight="1" spans="1:26">
      <c r="A90" s="81"/>
      <c r="B90" s="137"/>
      <c r="C90" s="81"/>
      <c r="D90" s="81"/>
      <c r="E90" s="81"/>
      <c r="F90" s="81"/>
      <c r="G90" s="81"/>
      <c r="H90" s="81"/>
      <c r="I90" s="81"/>
      <c r="J90" s="81"/>
      <c r="K90" s="81"/>
      <c r="L90" s="81"/>
      <c r="M90" s="81"/>
      <c r="N90" s="81"/>
      <c r="O90" s="81"/>
      <c r="P90" s="81"/>
      <c r="Q90" s="81"/>
      <c r="R90" s="81"/>
      <c r="S90" s="81"/>
      <c r="T90" s="81"/>
      <c r="U90" s="81"/>
      <c r="V90" s="81"/>
      <c r="W90" s="81"/>
      <c r="X90" s="81"/>
      <c r="Y90" s="81"/>
      <c r="Z90" s="81"/>
    </row>
    <row r="91" ht="12.75" customHeight="1" spans="1:26">
      <c r="A91" s="81"/>
      <c r="B91" s="137"/>
      <c r="C91" s="81"/>
      <c r="D91" s="81"/>
      <c r="E91" s="81"/>
      <c r="F91" s="81"/>
      <c r="G91" s="81"/>
      <c r="H91" s="81"/>
      <c r="I91" s="81"/>
      <c r="J91" s="81"/>
      <c r="K91" s="81"/>
      <c r="L91" s="81"/>
      <c r="M91" s="81"/>
      <c r="N91" s="81"/>
      <c r="O91" s="81"/>
      <c r="P91" s="81"/>
      <c r="Q91" s="81"/>
      <c r="R91" s="81"/>
      <c r="S91" s="81"/>
      <c r="T91" s="81"/>
      <c r="U91" s="81"/>
      <c r="V91" s="81"/>
      <c r="W91" s="81"/>
      <c r="X91" s="81"/>
      <c r="Y91" s="81"/>
      <c r="Z91" s="81"/>
    </row>
    <row r="92" ht="12.75" customHeight="1" spans="1:26">
      <c r="A92" s="81"/>
      <c r="B92" s="137"/>
      <c r="C92" s="81"/>
      <c r="D92" s="81"/>
      <c r="E92" s="81"/>
      <c r="F92" s="81"/>
      <c r="G92" s="81"/>
      <c r="H92" s="81"/>
      <c r="I92" s="81"/>
      <c r="J92" s="81"/>
      <c r="K92" s="81"/>
      <c r="L92" s="81"/>
      <c r="M92" s="81"/>
      <c r="N92" s="81"/>
      <c r="O92" s="81"/>
      <c r="P92" s="81"/>
      <c r="Q92" s="81"/>
      <c r="R92" s="81"/>
      <c r="S92" s="81"/>
      <c r="T92" s="81"/>
      <c r="U92" s="81"/>
      <c r="V92" s="81"/>
      <c r="W92" s="81"/>
      <c r="X92" s="81"/>
      <c r="Y92" s="81"/>
      <c r="Z92" s="81"/>
    </row>
    <row r="93" ht="12.75" customHeight="1" spans="1:26">
      <c r="A93" s="81"/>
      <c r="B93" s="137"/>
      <c r="C93" s="81"/>
      <c r="D93" s="81"/>
      <c r="E93" s="81"/>
      <c r="F93" s="81"/>
      <c r="G93" s="81"/>
      <c r="H93" s="81"/>
      <c r="I93" s="81"/>
      <c r="J93" s="81"/>
      <c r="K93" s="81"/>
      <c r="L93" s="81"/>
      <c r="M93" s="81"/>
      <c r="N93" s="81"/>
      <c r="O93" s="81"/>
      <c r="P93" s="81"/>
      <c r="Q93" s="81"/>
      <c r="R93" s="81"/>
      <c r="S93" s="81"/>
      <c r="T93" s="81"/>
      <c r="U93" s="81"/>
      <c r="V93" s="81"/>
      <c r="W93" s="81"/>
      <c r="X93" s="81"/>
      <c r="Y93" s="81"/>
      <c r="Z93" s="81"/>
    </row>
    <row r="94" ht="12.75" customHeight="1" spans="1:26">
      <c r="A94" s="81"/>
      <c r="B94" s="137"/>
      <c r="C94" s="81"/>
      <c r="D94" s="81"/>
      <c r="E94" s="81"/>
      <c r="F94" s="81"/>
      <c r="G94" s="81"/>
      <c r="H94" s="81"/>
      <c r="I94" s="81"/>
      <c r="J94" s="81"/>
      <c r="K94" s="81"/>
      <c r="L94" s="81"/>
      <c r="M94" s="81"/>
      <c r="N94" s="81"/>
      <c r="O94" s="81"/>
      <c r="P94" s="81"/>
      <c r="Q94" s="81"/>
      <c r="R94" s="81"/>
      <c r="S94" s="81"/>
      <c r="T94" s="81"/>
      <c r="U94" s="81"/>
      <c r="V94" s="81"/>
      <c r="W94" s="81"/>
      <c r="X94" s="81"/>
      <c r="Y94" s="81"/>
      <c r="Z94" s="81"/>
    </row>
    <row r="95" ht="12.75" customHeight="1" spans="1:26">
      <c r="A95" s="81"/>
      <c r="B95" s="137"/>
      <c r="C95" s="81"/>
      <c r="D95" s="81"/>
      <c r="E95" s="81"/>
      <c r="F95" s="81"/>
      <c r="G95" s="81"/>
      <c r="H95" s="81"/>
      <c r="I95" s="81"/>
      <c r="J95" s="81"/>
      <c r="K95" s="81"/>
      <c r="L95" s="81"/>
      <c r="M95" s="81"/>
      <c r="N95" s="81"/>
      <c r="O95" s="81"/>
      <c r="P95" s="81"/>
      <c r="Q95" s="81"/>
      <c r="R95" s="81"/>
      <c r="S95" s="81"/>
      <c r="T95" s="81"/>
      <c r="U95" s="81"/>
      <c r="V95" s="81"/>
      <c r="W95" s="81"/>
      <c r="X95" s="81"/>
      <c r="Y95" s="81"/>
      <c r="Z95" s="81"/>
    </row>
    <row r="96" ht="12.75" customHeight="1" spans="1:26">
      <c r="A96" s="81"/>
      <c r="B96" s="137"/>
      <c r="C96" s="81"/>
      <c r="D96" s="81"/>
      <c r="E96" s="81"/>
      <c r="F96" s="81"/>
      <c r="G96" s="81"/>
      <c r="H96" s="81"/>
      <c r="I96" s="81"/>
      <c r="J96" s="81"/>
      <c r="K96" s="81"/>
      <c r="L96" s="81"/>
      <c r="M96" s="81"/>
      <c r="N96" s="81"/>
      <c r="O96" s="81"/>
      <c r="P96" s="81"/>
      <c r="Q96" s="81"/>
      <c r="R96" s="81"/>
      <c r="S96" s="81"/>
      <c r="T96" s="81"/>
      <c r="U96" s="81"/>
      <c r="V96" s="81"/>
      <c r="W96" s="81"/>
      <c r="X96" s="81"/>
      <c r="Y96" s="81"/>
      <c r="Z96" s="81"/>
    </row>
    <row r="97" ht="12.75" customHeight="1" spans="1:26">
      <c r="A97" s="81"/>
      <c r="B97" s="137"/>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2.75" customHeight="1" spans="1:26">
      <c r="A98" s="81"/>
      <c r="B98" s="137"/>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2.75" customHeight="1" spans="1:26">
      <c r="A99" s="81"/>
      <c r="B99" s="137"/>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2.75" customHeight="1" spans="1:26">
      <c r="A100" s="81"/>
      <c r="B100" s="137"/>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2.75" customHeight="1" spans="1:26">
      <c r="A101" s="81"/>
      <c r="B101" s="137"/>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2.75" customHeight="1" spans="1:26">
      <c r="A102" s="81"/>
      <c r="B102" s="137"/>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2.75" customHeight="1" spans="1:26">
      <c r="A103" s="81"/>
      <c r="B103" s="137"/>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2.75" customHeight="1" spans="1:26">
      <c r="A104" s="81"/>
      <c r="B104" s="137"/>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2.75" customHeight="1" spans="1:26">
      <c r="A105" s="81"/>
      <c r="B105" s="137"/>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2.75" customHeight="1" spans="1:26">
      <c r="A106" s="81"/>
      <c r="B106" s="137"/>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2.75" customHeight="1" spans="1:26">
      <c r="A107" s="81"/>
      <c r="B107" s="137"/>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2.75" customHeight="1" spans="1:26">
      <c r="A108" s="81"/>
      <c r="B108" s="137"/>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2.75" customHeight="1" spans="1:26">
      <c r="A109" s="81"/>
      <c r="B109" s="137"/>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2.75" customHeight="1" spans="1:26">
      <c r="A110" s="81"/>
      <c r="B110" s="137"/>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2.75" customHeight="1" spans="1:26">
      <c r="A111" s="81"/>
      <c r="B111" s="137"/>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2.75" customHeight="1" spans="1:26">
      <c r="A112" s="81"/>
      <c r="B112" s="137"/>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2.75" customHeight="1" spans="1:26">
      <c r="A113" s="81"/>
      <c r="B113" s="137"/>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2.75" customHeight="1" spans="1:26">
      <c r="A114" s="81"/>
      <c r="B114" s="137"/>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2.75" customHeight="1" spans="1:26">
      <c r="A115" s="81"/>
      <c r="B115" s="137"/>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2.75" customHeight="1" spans="1:26">
      <c r="A116" s="81"/>
      <c r="B116" s="137"/>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2.75" customHeight="1" spans="1:26">
      <c r="A117" s="81"/>
      <c r="B117" s="137"/>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2.75" customHeight="1" spans="1:26">
      <c r="A118" s="81"/>
      <c r="B118" s="137"/>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2.75" customHeight="1" spans="1:26">
      <c r="A119" s="81"/>
      <c r="B119" s="137"/>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2.75" customHeight="1" spans="1:26">
      <c r="A120" s="81"/>
      <c r="B120" s="137"/>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2.75" customHeight="1" spans="1:26">
      <c r="A121" s="81"/>
      <c r="B121" s="137"/>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2.75" customHeight="1" spans="1:26">
      <c r="A122" s="81"/>
      <c r="B122" s="137"/>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2.75" customHeight="1" spans="1:26">
      <c r="A123" s="81"/>
      <c r="B123" s="137"/>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2.75" customHeight="1" spans="1:26">
      <c r="A124" s="81"/>
      <c r="B124" s="137"/>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2.75" customHeight="1" spans="1:26">
      <c r="A125" s="81"/>
      <c r="B125" s="137"/>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2.75" customHeight="1" spans="1:26">
      <c r="A126" s="81"/>
      <c r="B126" s="137"/>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2.75" customHeight="1" spans="1:26">
      <c r="A127" s="81"/>
      <c r="B127" s="137"/>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2.75" customHeight="1" spans="1:26">
      <c r="A128" s="81"/>
      <c r="B128" s="137"/>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2.75" customHeight="1" spans="1:26">
      <c r="A129" s="81"/>
      <c r="B129" s="137"/>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2.75" customHeight="1" spans="1:26">
      <c r="A130" s="81"/>
      <c r="B130" s="137"/>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2.75" customHeight="1" spans="1:26">
      <c r="A131" s="81"/>
      <c r="B131" s="137"/>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2.75" customHeight="1" spans="1:26">
      <c r="A132" s="81"/>
      <c r="B132" s="137"/>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2.75" customHeight="1" spans="1:26">
      <c r="A133" s="81"/>
      <c r="B133" s="137"/>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2.75" customHeight="1" spans="1:26">
      <c r="A134" s="81"/>
      <c r="B134" s="137"/>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2.75" customHeight="1" spans="1:26">
      <c r="A135" s="81"/>
      <c r="B135" s="137"/>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2.75" customHeight="1" spans="1:26">
      <c r="A136" s="81"/>
      <c r="B136" s="137"/>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2.75" customHeight="1" spans="1:26">
      <c r="A137" s="81"/>
      <c r="B137" s="137"/>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2.75" customHeight="1" spans="1:26">
      <c r="A138" s="81"/>
      <c r="B138" s="137"/>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2.75" customHeight="1" spans="1:26">
      <c r="A139" s="81"/>
      <c r="B139" s="137"/>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2.75" customHeight="1" spans="1:26">
      <c r="A140" s="81"/>
      <c r="B140" s="137"/>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2.75" customHeight="1" spans="1:26">
      <c r="A141" s="81"/>
      <c r="B141" s="137"/>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2.75" customHeight="1" spans="1:26">
      <c r="A142" s="81"/>
      <c r="B142" s="137"/>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2.75" customHeight="1" spans="1:26">
      <c r="A143" s="81"/>
      <c r="B143" s="137"/>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2.75" customHeight="1" spans="1:26">
      <c r="A144" s="81"/>
      <c r="B144" s="137"/>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2.75" customHeight="1" spans="1:26">
      <c r="A145" s="81"/>
      <c r="B145" s="137"/>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2.75" customHeight="1" spans="1:26">
      <c r="A146" s="81"/>
      <c r="B146" s="137"/>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2.75" customHeight="1" spans="1:26">
      <c r="A147" s="81"/>
      <c r="B147" s="137"/>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2.75" customHeight="1" spans="1:26">
      <c r="A148" s="81"/>
      <c r="B148" s="137"/>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2.75" customHeight="1" spans="1:26">
      <c r="A149" s="81"/>
      <c r="B149" s="137"/>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2.75" customHeight="1" spans="1:26">
      <c r="A150" s="81"/>
      <c r="B150" s="137"/>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2.75" customHeight="1" spans="1:26">
      <c r="A151" s="81"/>
      <c r="B151" s="137"/>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2.75" customHeight="1" spans="1:26">
      <c r="A152" s="81"/>
      <c r="B152" s="137"/>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2.75" customHeight="1" spans="1:26">
      <c r="A153" s="81"/>
      <c r="B153" s="137"/>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2.75" customHeight="1" spans="1:26">
      <c r="A154" s="81"/>
      <c r="B154" s="137"/>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2.75" customHeight="1" spans="1:26">
      <c r="A155" s="81"/>
      <c r="B155" s="137"/>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2.75" customHeight="1" spans="1:26">
      <c r="A156" s="81"/>
      <c r="B156" s="137"/>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2.75" customHeight="1" spans="1:26">
      <c r="A157" s="81"/>
      <c r="B157" s="137"/>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2.75" customHeight="1" spans="1:26">
      <c r="A158" s="81"/>
      <c r="B158" s="137"/>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2.75" customHeight="1" spans="1:26">
      <c r="A159" s="81"/>
      <c r="B159" s="137"/>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2.75" customHeight="1" spans="1:26">
      <c r="A160" s="81"/>
      <c r="B160" s="137"/>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2.75" customHeight="1" spans="1:26">
      <c r="A161" s="81"/>
      <c r="B161" s="137"/>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2.75" customHeight="1" spans="1:26">
      <c r="A162" s="81"/>
      <c r="B162" s="137"/>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2.75" customHeight="1" spans="1:26">
      <c r="A163" s="81"/>
      <c r="B163" s="137"/>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2.75" customHeight="1" spans="1:26">
      <c r="A164" s="81"/>
      <c r="B164" s="137"/>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2.75" customHeight="1" spans="1:26">
      <c r="A165" s="81"/>
      <c r="B165" s="137"/>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2.75" customHeight="1" spans="1:26">
      <c r="A166" s="81"/>
      <c r="B166" s="137"/>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2.75" customHeight="1" spans="1:26">
      <c r="A167" s="81"/>
      <c r="B167" s="137"/>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2.75" customHeight="1" spans="1:26">
      <c r="A168" s="81"/>
      <c r="B168" s="137"/>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2.75" customHeight="1" spans="1:26">
      <c r="A169" s="81"/>
      <c r="B169" s="137"/>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2.75" customHeight="1" spans="1:26">
      <c r="A170" s="81"/>
      <c r="B170" s="137"/>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2.75" customHeight="1" spans="1:26">
      <c r="A171" s="81"/>
      <c r="B171" s="137"/>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2.75" customHeight="1" spans="1:26">
      <c r="A172" s="81"/>
      <c r="B172" s="137"/>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2.75" customHeight="1" spans="1:26">
      <c r="A173" s="81"/>
      <c r="B173" s="137"/>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2.75" customHeight="1" spans="1:26">
      <c r="A174" s="81"/>
      <c r="B174" s="137"/>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2.75" customHeight="1" spans="1:26">
      <c r="A175" s="81"/>
      <c r="B175" s="137"/>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2.75" customHeight="1" spans="1:26">
      <c r="A176" s="81"/>
      <c r="B176" s="137"/>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2.75" customHeight="1" spans="1:26">
      <c r="A177" s="81"/>
      <c r="B177" s="137"/>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2.75" customHeight="1" spans="1:26">
      <c r="A178" s="81"/>
      <c r="B178" s="137"/>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2.75" customHeight="1" spans="1:26">
      <c r="A179" s="81"/>
      <c r="B179" s="137"/>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2.75" customHeight="1" spans="1:26">
      <c r="A180" s="81"/>
      <c r="B180" s="137"/>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2.75" customHeight="1" spans="1:26">
      <c r="A181" s="81"/>
      <c r="B181" s="137"/>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2.75" customHeight="1" spans="1:26">
      <c r="A182" s="81"/>
      <c r="B182" s="137"/>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2.75" customHeight="1" spans="1:26">
      <c r="A183" s="81"/>
      <c r="B183" s="137"/>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2.75" customHeight="1" spans="1:26">
      <c r="A184" s="81"/>
      <c r="B184" s="137"/>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2.75" customHeight="1" spans="1:26">
      <c r="A185" s="81"/>
      <c r="B185" s="137"/>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2.75" customHeight="1" spans="1:26">
      <c r="A186" s="81"/>
      <c r="B186" s="137"/>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2.75" customHeight="1" spans="1:26">
      <c r="A187" s="81"/>
      <c r="B187" s="137"/>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2.75" customHeight="1" spans="1:26">
      <c r="A188" s="81"/>
      <c r="B188" s="137"/>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2.75" customHeight="1" spans="1:26">
      <c r="A189" s="81"/>
      <c r="B189" s="137"/>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2.75" customHeight="1" spans="1:26">
      <c r="A190" s="81"/>
      <c r="B190" s="137"/>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2.75" customHeight="1" spans="1:26">
      <c r="A191" s="81"/>
      <c r="B191" s="137"/>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2.75" customHeight="1" spans="1:26">
      <c r="A192" s="81"/>
      <c r="B192" s="137"/>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2.75" customHeight="1" spans="1:26">
      <c r="A193" s="81"/>
      <c r="B193" s="137"/>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2.75" customHeight="1" spans="1:26">
      <c r="A194" s="81"/>
      <c r="B194" s="137"/>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2.75" customHeight="1" spans="1:26">
      <c r="A195" s="81"/>
      <c r="B195" s="137"/>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2.75" customHeight="1" spans="1:26">
      <c r="A196" s="81"/>
      <c r="B196" s="137"/>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2.75" customHeight="1" spans="1:26">
      <c r="A197" s="81"/>
      <c r="B197" s="137"/>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2.75" customHeight="1" spans="1:26">
      <c r="A198" s="81"/>
      <c r="B198" s="137"/>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2.75" customHeight="1" spans="1:26">
      <c r="A199" s="81"/>
      <c r="B199" s="137"/>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2.75" customHeight="1" spans="1:26">
      <c r="A200" s="81"/>
      <c r="B200" s="137"/>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2.75" customHeight="1" spans="1:26">
      <c r="A201" s="81"/>
      <c r="B201" s="137"/>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2.75" customHeight="1" spans="1:26">
      <c r="A202" s="81"/>
      <c r="B202" s="137"/>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2.75" customHeight="1" spans="1:26">
      <c r="A203" s="81"/>
      <c r="B203" s="137"/>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2.75" customHeight="1" spans="1:26">
      <c r="A204" s="81"/>
      <c r="B204" s="137"/>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2.75" customHeight="1" spans="1:26">
      <c r="A205" s="81"/>
      <c r="B205" s="137"/>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2.75" customHeight="1" spans="1:26">
      <c r="A206" s="81"/>
      <c r="B206" s="137"/>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2.75" customHeight="1" spans="1:26">
      <c r="A207" s="81"/>
      <c r="B207" s="137"/>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2.75" customHeight="1" spans="1:26">
      <c r="A208" s="81"/>
      <c r="B208" s="137"/>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2.75" customHeight="1" spans="1:26">
      <c r="A209" s="81"/>
      <c r="B209" s="137"/>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2.75" customHeight="1" spans="1:26">
      <c r="A210" s="81"/>
      <c r="B210" s="137"/>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2.75" customHeight="1" spans="1:26">
      <c r="A211" s="81"/>
      <c r="B211" s="137"/>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2.75" customHeight="1" spans="1:26">
      <c r="A212" s="81"/>
      <c r="B212" s="137"/>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2.75" customHeight="1" spans="1:26">
      <c r="A213" s="81"/>
      <c r="B213" s="137"/>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2.75" customHeight="1" spans="1:26">
      <c r="A214" s="81"/>
      <c r="B214" s="137"/>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2.75" customHeight="1" spans="1:26">
      <c r="A215" s="81"/>
      <c r="B215" s="137"/>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2.75" customHeight="1" spans="1:26">
      <c r="A216" s="81"/>
      <c r="B216" s="137"/>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2.75" customHeight="1" spans="1:26">
      <c r="A217" s="81"/>
      <c r="B217" s="137"/>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2.75" customHeight="1" spans="1:26">
      <c r="A218" s="81"/>
      <c r="B218" s="137"/>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2.75" customHeight="1" spans="1:26">
      <c r="A219" s="81"/>
      <c r="B219" s="137"/>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2.75" customHeight="1" spans="1:26">
      <c r="A220" s="81"/>
      <c r="B220" s="137"/>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2.75" customHeight="1" spans="1:26">
      <c r="A221" s="81"/>
      <c r="B221" s="137"/>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2.75" customHeight="1" spans="1:26">
      <c r="A222" s="81"/>
      <c r="B222" s="137"/>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2.75" customHeight="1" spans="1:26">
      <c r="A223" s="81"/>
      <c r="B223" s="137"/>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2.75" customHeight="1" spans="1:26">
      <c r="A224" s="81"/>
      <c r="B224" s="137"/>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2.75" customHeight="1" spans="1:26">
      <c r="A225" s="81"/>
      <c r="B225" s="137"/>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2.75" customHeight="1" spans="1:26">
      <c r="A226" s="81"/>
      <c r="B226" s="137"/>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2.75" customHeight="1" spans="1:26">
      <c r="A227" s="81"/>
      <c r="B227" s="137"/>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2.75" customHeight="1" spans="1:26">
      <c r="A228" s="81"/>
      <c r="B228" s="137"/>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2.75" customHeight="1" spans="1:26">
      <c r="A229" s="81"/>
      <c r="B229" s="137"/>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2.75" customHeight="1" spans="1:26">
      <c r="A230" s="81"/>
      <c r="B230" s="137"/>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2.75" customHeight="1" spans="1:26">
      <c r="A231" s="81"/>
      <c r="B231" s="137"/>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2.75" customHeight="1" spans="1:26">
      <c r="A232" s="81"/>
      <c r="B232" s="137"/>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2.75" customHeight="1" spans="1:26">
      <c r="A233" s="81"/>
      <c r="B233" s="137"/>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2.75" customHeight="1" spans="1:26">
      <c r="A234" s="81"/>
      <c r="B234" s="137"/>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2.75" customHeight="1" spans="1:26">
      <c r="A235" s="81"/>
      <c r="B235" s="137"/>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2.75" customHeight="1" spans="1:26">
      <c r="A236" s="81"/>
      <c r="B236" s="137"/>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2.75" customHeight="1" spans="1:26">
      <c r="A237" s="81"/>
      <c r="B237" s="137"/>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2.75" customHeight="1" spans="1:26">
      <c r="A238" s="81"/>
      <c r="B238" s="137"/>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2.75" customHeight="1" spans="1:26">
      <c r="A239" s="81"/>
      <c r="B239" s="137"/>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2.75" customHeight="1" spans="1:26">
      <c r="A240" s="81"/>
      <c r="B240" s="137"/>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2.75" customHeight="1" spans="1:26">
      <c r="A241" s="81"/>
      <c r="B241" s="137"/>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2.75" customHeight="1" spans="1:26">
      <c r="A242" s="81"/>
      <c r="B242" s="137"/>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2.75" customHeight="1" spans="1:26">
      <c r="A243" s="81"/>
      <c r="B243" s="137"/>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2.75" customHeight="1" spans="1:26">
      <c r="A244" s="81"/>
      <c r="B244" s="137"/>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2.75" customHeight="1" spans="1:26">
      <c r="A245" s="81"/>
      <c r="B245" s="137"/>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2.75" customHeight="1" spans="1:26">
      <c r="A246" s="81"/>
      <c r="B246" s="137"/>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2.75" customHeight="1" spans="1:26">
      <c r="A247" s="81"/>
      <c r="B247" s="137"/>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2.75" customHeight="1" spans="1:26">
      <c r="A248" s="81"/>
      <c r="B248" s="137"/>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2.75" customHeight="1" spans="1:26">
      <c r="A249" s="81"/>
      <c r="B249" s="137"/>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2.75" customHeight="1" spans="1:26">
      <c r="A250" s="81"/>
      <c r="B250" s="137"/>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2.75" customHeight="1" spans="1:26">
      <c r="A251" s="81"/>
      <c r="B251" s="137"/>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2.75" customHeight="1" spans="1:26">
      <c r="A252" s="81"/>
      <c r="B252" s="137"/>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2.75" customHeight="1" spans="1:26">
      <c r="A253" s="81"/>
      <c r="B253" s="137"/>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2.75" customHeight="1" spans="1:26">
      <c r="A254" s="81"/>
      <c r="B254" s="137"/>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2.75" customHeight="1" spans="1:26">
      <c r="A255" s="81"/>
      <c r="B255" s="137"/>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2.75" customHeight="1" spans="1:26">
      <c r="A256" s="81"/>
      <c r="B256" s="137"/>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2.75" customHeight="1" spans="1:26">
      <c r="A257" s="81"/>
      <c r="B257" s="137"/>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2.75" customHeight="1" spans="1:26">
      <c r="A258" s="81"/>
      <c r="B258" s="137"/>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2.75" customHeight="1" spans="1:26">
      <c r="A259" s="81"/>
      <c r="B259" s="137"/>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2.75" customHeight="1" spans="1:26">
      <c r="A260" s="81"/>
      <c r="B260" s="137"/>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2.75" customHeight="1" spans="1:26">
      <c r="A261" s="81"/>
      <c r="B261" s="137"/>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2.75" customHeight="1" spans="1:26">
      <c r="A262" s="81"/>
      <c r="B262" s="137"/>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2.75" customHeight="1" spans="1:26">
      <c r="A263" s="81"/>
      <c r="B263" s="137"/>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2.75" customHeight="1" spans="1:26">
      <c r="A264" s="81"/>
      <c r="B264" s="137"/>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2.75" customHeight="1" spans="1:26">
      <c r="A265" s="81"/>
      <c r="B265" s="137"/>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2.75" customHeight="1" spans="1:26">
      <c r="A266" s="81"/>
      <c r="B266" s="137"/>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2.75" customHeight="1" spans="1:26">
      <c r="A267" s="81"/>
      <c r="B267" s="137"/>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2.75" customHeight="1" spans="1:26">
      <c r="A268" s="81"/>
      <c r="B268" s="137"/>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2.75" customHeight="1" spans="1:26">
      <c r="A269" s="81"/>
      <c r="B269" s="137"/>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2.75" customHeight="1" spans="1:26">
      <c r="A270" s="81"/>
      <c r="B270" s="137"/>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2.75" customHeight="1" spans="1:26">
      <c r="A271" s="81"/>
      <c r="B271" s="137"/>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2.75" customHeight="1" spans="1:26">
      <c r="A272" s="81"/>
      <c r="B272" s="137"/>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2.75" customHeight="1" spans="1:26">
      <c r="A273" s="81"/>
      <c r="B273" s="137"/>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2.75" customHeight="1" spans="1:26">
      <c r="A274" s="81"/>
      <c r="B274" s="137"/>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2.75" customHeight="1" spans="1:26">
      <c r="A275" s="81"/>
      <c r="B275" s="137"/>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2.75" customHeight="1" spans="1:26">
      <c r="A276" s="81"/>
      <c r="B276" s="137"/>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2.75" customHeight="1" spans="1:26">
      <c r="A277" s="81"/>
      <c r="B277" s="137"/>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2.75" customHeight="1" spans="1:26">
      <c r="A278" s="81"/>
      <c r="B278" s="137"/>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2.75" customHeight="1" spans="1:26">
      <c r="A279" s="81"/>
      <c r="B279" s="137"/>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2.75" customHeight="1" spans="1:26">
      <c r="A280" s="81"/>
      <c r="B280" s="137"/>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2.75" customHeight="1" spans="1:26">
      <c r="A281" s="81"/>
      <c r="B281" s="137"/>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2.75" customHeight="1" spans="1:26">
      <c r="A282" s="81"/>
      <c r="B282" s="137"/>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2.75" customHeight="1" spans="1:26">
      <c r="A283" s="81"/>
      <c r="B283" s="137"/>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2.75" customHeight="1" spans="1:26">
      <c r="A284" s="81"/>
      <c r="B284" s="137"/>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2.75" customHeight="1" spans="1:26">
      <c r="A285" s="81"/>
      <c r="B285" s="137"/>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2.75" customHeight="1" spans="1:26">
      <c r="A286" s="81"/>
      <c r="B286" s="137"/>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2.75" customHeight="1" spans="1:26">
      <c r="A287" s="81"/>
      <c r="B287" s="137"/>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2.75" customHeight="1" spans="1:26">
      <c r="A288" s="81"/>
      <c r="B288" s="137"/>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2.75" customHeight="1" spans="1:26">
      <c r="A289" s="81"/>
      <c r="B289" s="137"/>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2.75" customHeight="1" spans="1:26">
      <c r="A290" s="81"/>
      <c r="B290" s="137"/>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2.75" customHeight="1" spans="1:26">
      <c r="A291" s="81"/>
      <c r="B291" s="137"/>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2.75" customHeight="1" spans="1:26">
      <c r="A292" s="81"/>
      <c r="B292" s="137"/>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2.75" customHeight="1" spans="1:26">
      <c r="A293" s="81"/>
      <c r="B293" s="137"/>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2.75" customHeight="1" spans="1:26">
      <c r="A294" s="81"/>
      <c r="B294" s="137"/>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2.75" customHeight="1" spans="1:26">
      <c r="A295" s="81"/>
      <c r="B295" s="137"/>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2.75" customHeight="1" spans="1:26">
      <c r="A296" s="81"/>
      <c r="B296" s="137"/>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2.75" customHeight="1" spans="1:26">
      <c r="A297" s="81"/>
      <c r="B297" s="137"/>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2.75" customHeight="1" spans="1:26">
      <c r="A298" s="81"/>
      <c r="B298" s="137"/>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2.75" customHeight="1" spans="1:26">
      <c r="A299" s="81"/>
      <c r="B299" s="137"/>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2.75" customHeight="1" spans="1:26">
      <c r="A300" s="81"/>
      <c r="B300" s="137"/>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2.75" customHeight="1" spans="1:26">
      <c r="A301" s="81"/>
      <c r="B301" s="137"/>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2.75" customHeight="1" spans="1:26">
      <c r="A302" s="81"/>
      <c r="B302" s="137"/>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2.75" customHeight="1" spans="1:26">
      <c r="A303" s="81"/>
      <c r="B303" s="137"/>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2.75" customHeight="1" spans="1:26">
      <c r="A304" s="81"/>
      <c r="B304" s="137"/>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2.75" customHeight="1" spans="1:26">
      <c r="A305" s="81"/>
      <c r="B305" s="137"/>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2.75" customHeight="1" spans="1:26">
      <c r="A306" s="81"/>
      <c r="B306" s="137"/>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2.75" customHeight="1" spans="1:26">
      <c r="A307" s="81"/>
      <c r="B307" s="137"/>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2.75" customHeight="1" spans="1:26">
      <c r="A308" s="81"/>
      <c r="B308" s="137"/>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2.75" customHeight="1" spans="1:26">
      <c r="A309" s="81"/>
      <c r="B309" s="137"/>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2.75" customHeight="1" spans="1:26">
      <c r="A310" s="81"/>
      <c r="B310" s="137"/>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2.75" customHeight="1" spans="1:26">
      <c r="A311" s="81"/>
      <c r="B311" s="137"/>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2.75" customHeight="1" spans="1:26">
      <c r="A312" s="81"/>
      <c r="B312" s="137"/>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2.75" customHeight="1" spans="1:26">
      <c r="A313" s="81"/>
      <c r="B313" s="137"/>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2.75" customHeight="1" spans="1:26">
      <c r="A314" s="81"/>
      <c r="B314" s="137"/>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2.75" customHeight="1" spans="1:26">
      <c r="A315" s="81"/>
      <c r="B315" s="137"/>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2.75" customHeight="1" spans="1:26">
      <c r="A316" s="81"/>
      <c r="B316" s="137"/>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2.75" customHeight="1" spans="1:26">
      <c r="A317" s="81"/>
      <c r="B317" s="137"/>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2.75" customHeight="1" spans="1:26">
      <c r="A318" s="81"/>
      <c r="B318" s="137"/>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2.75" customHeight="1" spans="1:26">
      <c r="A319" s="81"/>
      <c r="B319" s="137"/>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2.75" customHeight="1" spans="1:26">
      <c r="A320" s="81"/>
      <c r="B320" s="137"/>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2.75" customHeight="1" spans="1:26">
      <c r="A321" s="81"/>
      <c r="B321" s="137"/>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2.75" customHeight="1" spans="1:26">
      <c r="A322" s="81"/>
      <c r="B322" s="137"/>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2.75" customHeight="1" spans="1:26">
      <c r="A323" s="81"/>
      <c r="B323" s="137"/>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2.75" customHeight="1" spans="1:26">
      <c r="A324" s="81"/>
      <c r="B324" s="137"/>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2.75" customHeight="1" spans="1:26">
      <c r="A325" s="81"/>
      <c r="B325" s="137"/>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2.75" customHeight="1" spans="1:26">
      <c r="A326" s="81"/>
      <c r="B326" s="137"/>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2.75" customHeight="1" spans="1:26">
      <c r="A327" s="81"/>
      <c r="B327" s="137"/>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2.75" customHeight="1" spans="1:26">
      <c r="A328" s="81"/>
      <c r="B328" s="137"/>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2.75" customHeight="1" spans="1:26">
      <c r="A329" s="81"/>
      <c r="B329" s="137"/>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2.75" customHeight="1" spans="1:26">
      <c r="A330" s="81"/>
      <c r="B330" s="137"/>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2.75" customHeight="1" spans="1:26">
      <c r="A331" s="81"/>
      <c r="B331" s="137"/>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2.75" customHeight="1" spans="1:26">
      <c r="A332" s="81"/>
      <c r="B332" s="137"/>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2.75" customHeight="1" spans="1:26">
      <c r="A333" s="81"/>
      <c r="B333" s="137"/>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2.75" customHeight="1" spans="1:26">
      <c r="A334" s="81"/>
      <c r="B334" s="137"/>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2.75" customHeight="1" spans="1:26">
      <c r="A335" s="81"/>
      <c r="B335" s="137"/>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2.75" customHeight="1" spans="1:26">
      <c r="A336" s="81"/>
      <c r="B336" s="137"/>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2.75" customHeight="1" spans="1:26">
      <c r="A337" s="81"/>
      <c r="B337" s="137"/>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2.75" customHeight="1" spans="1:26">
      <c r="A338" s="81"/>
      <c r="B338" s="137"/>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2.75" customHeight="1" spans="1:26">
      <c r="A339" s="81"/>
      <c r="B339" s="137"/>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2.75" customHeight="1" spans="1:26">
      <c r="A340" s="81"/>
      <c r="B340" s="137"/>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2.75" customHeight="1" spans="1:26">
      <c r="A341" s="81"/>
      <c r="B341" s="137"/>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2.75" customHeight="1" spans="1:26">
      <c r="A342" s="81"/>
      <c r="B342" s="137"/>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2.75" customHeight="1" spans="1:26">
      <c r="A343" s="81"/>
      <c r="B343" s="137"/>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2.75" customHeight="1" spans="1:26">
      <c r="A344" s="81"/>
      <c r="B344" s="137"/>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2.75" customHeight="1" spans="1:26">
      <c r="A345" s="81"/>
      <c r="B345" s="137"/>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2.75" customHeight="1" spans="1:26">
      <c r="A346" s="81"/>
      <c r="B346" s="137"/>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2.75" customHeight="1" spans="1:26">
      <c r="A347" s="81"/>
      <c r="B347" s="137"/>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2.75" customHeight="1" spans="1:26">
      <c r="A348" s="81"/>
      <c r="B348" s="137"/>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2.75" customHeight="1" spans="1:26">
      <c r="A349" s="81"/>
      <c r="B349" s="137"/>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2.75" customHeight="1" spans="1:26">
      <c r="A350" s="81"/>
      <c r="B350" s="137"/>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2.75" customHeight="1" spans="1:26">
      <c r="A351" s="81"/>
      <c r="B351" s="137"/>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2.75" customHeight="1" spans="1:26">
      <c r="A352" s="81"/>
      <c r="B352" s="137"/>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2.75" customHeight="1" spans="1:26">
      <c r="A353" s="81"/>
      <c r="B353" s="137"/>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2.75" customHeight="1" spans="1:26">
      <c r="A354" s="81"/>
      <c r="B354" s="137"/>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2.75" customHeight="1" spans="1:26">
      <c r="A355" s="81"/>
      <c r="B355" s="137"/>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2.75" customHeight="1" spans="1:26">
      <c r="A356" s="81"/>
      <c r="B356" s="137"/>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2.75" customHeight="1" spans="1:26">
      <c r="A357" s="81"/>
      <c r="B357" s="137"/>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2.75" customHeight="1" spans="1:26">
      <c r="A358" s="81"/>
      <c r="B358" s="137"/>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2.75" customHeight="1" spans="1:26">
      <c r="A359" s="81"/>
      <c r="B359" s="137"/>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2.75" customHeight="1" spans="1:26">
      <c r="A360" s="81"/>
      <c r="B360" s="137"/>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2.75" customHeight="1" spans="1:26">
      <c r="A361" s="81"/>
      <c r="B361" s="137"/>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2.75" customHeight="1" spans="1:26">
      <c r="A362" s="81"/>
      <c r="B362" s="137"/>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2.75" customHeight="1" spans="1:26">
      <c r="A363" s="81"/>
      <c r="B363" s="137"/>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2.75" customHeight="1" spans="1:26">
      <c r="A364" s="81"/>
      <c r="B364" s="137"/>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2.75" customHeight="1" spans="1:26">
      <c r="A365" s="81"/>
      <c r="B365" s="137"/>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2.75" customHeight="1" spans="1:26">
      <c r="A366" s="81"/>
      <c r="B366" s="137"/>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2.75" customHeight="1" spans="1:26">
      <c r="A367" s="81"/>
      <c r="B367" s="137"/>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2.75" customHeight="1" spans="1:26">
      <c r="A368" s="81"/>
      <c r="B368" s="137"/>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2.75" customHeight="1" spans="1:26">
      <c r="A369" s="81"/>
      <c r="B369" s="137"/>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2.75" customHeight="1" spans="1:26">
      <c r="A370" s="81"/>
      <c r="B370" s="137"/>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2.75" customHeight="1" spans="1:26">
      <c r="A371" s="81"/>
      <c r="B371" s="137"/>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2.75" customHeight="1" spans="1:26">
      <c r="A372" s="81"/>
      <c r="B372" s="137"/>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2.75" customHeight="1" spans="1:26">
      <c r="A373" s="81"/>
      <c r="B373" s="137"/>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2.75" customHeight="1" spans="1:26">
      <c r="A374" s="81"/>
      <c r="B374" s="137"/>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2.75" customHeight="1" spans="1:26">
      <c r="A375" s="81"/>
      <c r="B375" s="137"/>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2.75" customHeight="1" spans="1:26">
      <c r="A376" s="81"/>
      <c r="B376" s="137"/>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2.75" customHeight="1" spans="1:26">
      <c r="A377" s="81"/>
      <c r="B377" s="137"/>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2.75" customHeight="1" spans="1:26">
      <c r="A378" s="81"/>
      <c r="B378" s="137"/>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2.75" customHeight="1" spans="1:26">
      <c r="A379" s="81"/>
      <c r="B379" s="137"/>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2.75" customHeight="1" spans="1:26">
      <c r="A380" s="81"/>
      <c r="B380" s="137"/>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2.75" customHeight="1" spans="1:26">
      <c r="A381" s="81"/>
      <c r="B381" s="137"/>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2.75" customHeight="1" spans="1:26">
      <c r="A382" s="81"/>
      <c r="B382" s="137"/>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2.75" customHeight="1" spans="1:26">
      <c r="A383" s="81"/>
      <c r="B383" s="137"/>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2.75" customHeight="1" spans="1:26">
      <c r="A384" s="81"/>
      <c r="B384" s="137"/>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2.75" customHeight="1" spans="1:26">
      <c r="A385" s="81"/>
      <c r="B385" s="137"/>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2.75" customHeight="1" spans="1:26">
      <c r="A386" s="81"/>
      <c r="B386" s="137"/>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2.75" customHeight="1" spans="1:26">
      <c r="A387" s="81"/>
      <c r="B387" s="137"/>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2.75" customHeight="1" spans="1:26">
      <c r="A388" s="81"/>
      <c r="B388" s="137"/>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2.75" customHeight="1" spans="1:26">
      <c r="A389" s="81"/>
      <c r="B389" s="137"/>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2.75" customHeight="1" spans="1:26">
      <c r="A390" s="81"/>
      <c r="B390" s="137"/>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2.75" customHeight="1" spans="1:26">
      <c r="A391" s="81"/>
      <c r="B391" s="137"/>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2.75" customHeight="1" spans="1:26">
      <c r="A392" s="81"/>
      <c r="B392" s="137"/>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2.75" customHeight="1" spans="1:26">
      <c r="A393" s="81"/>
      <c r="B393" s="137"/>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2.75" customHeight="1" spans="1:26">
      <c r="A394" s="81"/>
      <c r="B394" s="137"/>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2.75" customHeight="1" spans="1:26">
      <c r="A395" s="81"/>
      <c r="B395" s="137"/>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2.75" customHeight="1" spans="1:26">
      <c r="A396" s="81"/>
      <c r="B396" s="137"/>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2.75" customHeight="1" spans="1:26">
      <c r="A397" s="81"/>
      <c r="B397" s="137"/>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2.75" customHeight="1" spans="1:26">
      <c r="A398" s="81"/>
      <c r="B398" s="137"/>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2.75" customHeight="1" spans="1:26">
      <c r="A399" s="81"/>
      <c r="B399" s="137"/>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2.75" customHeight="1" spans="1:26">
      <c r="A400" s="81"/>
      <c r="B400" s="137"/>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2.75" customHeight="1" spans="1:26">
      <c r="A401" s="81"/>
      <c r="B401" s="137"/>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2.75" customHeight="1" spans="1:26">
      <c r="A402" s="81"/>
      <c r="B402" s="137"/>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2.75" customHeight="1" spans="1:26">
      <c r="A403" s="81"/>
      <c r="B403" s="137"/>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2.75" customHeight="1" spans="1:26">
      <c r="A404" s="81"/>
      <c r="B404" s="137"/>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2.75" customHeight="1" spans="1:26">
      <c r="A405" s="81"/>
      <c r="B405" s="137"/>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2.75" customHeight="1" spans="1:26">
      <c r="A406" s="81"/>
      <c r="B406" s="137"/>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2.75" customHeight="1" spans="1:26">
      <c r="A407" s="81"/>
      <c r="B407" s="137"/>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2.75" customHeight="1" spans="1:26">
      <c r="A408" s="81"/>
      <c r="B408" s="137"/>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2.75" customHeight="1" spans="1:26">
      <c r="A409" s="81"/>
      <c r="B409" s="137"/>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2.75" customHeight="1" spans="1:26">
      <c r="A410" s="81"/>
      <c r="B410" s="137"/>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2.75" customHeight="1" spans="1:26">
      <c r="A411" s="81"/>
      <c r="B411" s="137"/>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2.75" customHeight="1" spans="1:26">
      <c r="A412" s="81"/>
      <c r="B412" s="137"/>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2.75" customHeight="1" spans="1:26">
      <c r="A413" s="81"/>
      <c r="B413" s="137"/>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2.75" customHeight="1" spans="1:26">
      <c r="A414" s="81"/>
      <c r="B414" s="137"/>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2.75" customHeight="1" spans="1:26">
      <c r="A415" s="81"/>
      <c r="B415" s="137"/>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2.75" customHeight="1" spans="1:26">
      <c r="A416" s="81"/>
      <c r="B416" s="137"/>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2.75" customHeight="1" spans="1:26">
      <c r="A417" s="81"/>
      <c r="B417" s="137"/>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2.75" customHeight="1" spans="1:26">
      <c r="A418" s="81"/>
      <c r="B418" s="137"/>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2.75" customHeight="1" spans="1:26">
      <c r="A419" s="81"/>
      <c r="B419" s="137"/>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2.75" customHeight="1" spans="1:26">
      <c r="A420" s="81"/>
      <c r="B420" s="137"/>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2.75" customHeight="1" spans="1:26">
      <c r="A421" s="81"/>
      <c r="B421" s="137"/>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2.75" customHeight="1" spans="1:26">
      <c r="A422" s="81"/>
      <c r="B422" s="137"/>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2.75" customHeight="1" spans="1:26">
      <c r="A423" s="81"/>
      <c r="B423" s="137"/>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2.75" customHeight="1" spans="1:26">
      <c r="A424" s="81"/>
      <c r="B424" s="137"/>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2.75" customHeight="1" spans="1:26">
      <c r="A425" s="81"/>
      <c r="B425" s="137"/>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2.75" customHeight="1" spans="1:26">
      <c r="A426" s="81"/>
      <c r="B426" s="137"/>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2.75" customHeight="1" spans="1:26">
      <c r="A427" s="81"/>
      <c r="B427" s="137"/>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2.75" customHeight="1" spans="1:26">
      <c r="A428" s="81"/>
      <c r="B428" s="137"/>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2.75" customHeight="1" spans="1:26">
      <c r="A429" s="81"/>
      <c r="B429" s="137"/>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2.75" customHeight="1" spans="1:26">
      <c r="A430" s="81"/>
      <c r="B430" s="137"/>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2.75" customHeight="1" spans="1:26">
      <c r="A431" s="81"/>
      <c r="B431" s="137"/>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2.75" customHeight="1" spans="1:26">
      <c r="A432" s="81"/>
      <c r="B432" s="137"/>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2.75" customHeight="1" spans="1:26">
      <c r="A433" s="81"/>
      <c r="B433" s="137"/>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2.75" customHeight="1" spans="1:26">
      <c r="A434" s="81"/>
      <c r="B434" s="137"/>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2.75" customHeight="1" spans="1:26">
      <c r="A435" s="81"/>
      <c r="B435" s="137"/>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2.75" customHeight="1" spans="1:26">
      <c r="A436" s="81"/>
      <c r="B436" s="137"/>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2.75" customHeight="1" spans="1:26">
      <c r="A437" s="81"/>
      <c r="B437" s="137"/>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2.75" customHeight="1" spans="1:26">
      <c r="A438" s="81"/>
      <c r="B438" s="137"/>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2.75" customHeight="1" spans="1:26">
      <c r="A439" s="81"/>
      <c r="B439" s="137"/>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2.75" customHeight="1" spans="1:26">
      <c r="A440" s="81"/>
      <c r="B440" s="137"/>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2.75" customHeight="1" spans="1:26">
      <c r="A441" s="81"/>
      <c r="B441" s="137"/>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2.75" customHeight="1" spans="1:26">
      <c r="A442" s="81"/>
      <c r="B442" s="137"/>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2.75" customHeight="1" spans="1:26">
      <c r="A443" s="81"/>
      <c r="B443" s="137"/>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2.75" customHeight="1" spans="1:26">
      <c r="A444" s="81"/>
      <c r="B444" s="137"/>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2.75" customHeight="1" spans="1:26">
      <c r="A445" s="81"/>
      <c r="B445" s="137"/>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2.75" customHeight="1" spans="1:26">
      <c r="A446" s="81"/>
      <c r="B446" s="137"/>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2.75" customHeight="1" spans="1:26">
      <c r="A447" s="81"/>
      <c r="B447" s="137"/>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2.75" customHeight="1" spans="1:26">
      <c r="A448" s="81"/>
      <c r="B448" s="137"/>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2.75" customHeight="1" spans="1:26">
      <c r="A449" s="81"/>
      <c r="B449" s="137"/>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2.75" customHeight="1" spans="1:26">
      <c r="A450" s="81"/>
      <c r="B450" s="137"/>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2.75" customHeight="1" spans="1:26">
      <c r="A451" s="81"/>
      <c r="B451" s="137"/>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2.75" customHeight="1" spans="1:26">
      <c r="A452" s="81"/>
      <c r="B452" s="137"/>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2.75" customHeight="1" spans="1:26">
      <c r="A453" s="81"/>
      <c r="B453" s="137"/>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2.75" customHeight="1" spans="1:26">
      <c r="A454" s="81"/>
      <c r="B454" s="137"/>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2.75" customHeight="1" spans="1:26">
      <c r="A455" s="81"/>
      <c r="B455" s="137"/>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2.75" customHeight="1" spans="1:26">
      <c r="A456" s="81"/>
      <c r="B456" s="137"/>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2.75" customHeight="1" spans="1:26">
      <c r="A457" s="81"/>
      <c r="B457" s="137"/>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2.75" customHeight="1" spans="1:26">
      <c r="A458" s="81"/>
      <c r="B458" s="137"/>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2.75" customHeight="1" spans="1:26">
      <c r="A459" s="81"/>
      <c r="B459" s="137"/>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2.75" customHeight="1" spans="1:26">
      <c r="A460" s="81"/>
      <c r="B460" s="137"/>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2.75" customHeight="1" spans="1:26">
      <c r="A461" s="81"/>
      <c r="B461" s="137"/>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2.75" customHeight="1" spans="1:26">
      <c r="A462" s="81"/>
      <c r="B462" s="137"/>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2.75" customHeight="1" spans="1:26">
      <c r="A463" s="81"/>
      <c r="B463" s="137"/>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2.75" customHeight="1" spans="1:26">
      <c r="A464" s="81"/>
      <c r="B464" s="137"/>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2.75" customHeight="1" spans="1:26">
      <c r="A465" s="81"/>
      <c r="B465" s="137"/>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2.75" customHeight="1" spans="1:26">
      <c r="A466" s="81"/>
      <c r="B466" s="137"/>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2.75" customHeight="1" spans="1:26">
      <c r="A467" s="81"/>
      <c r="B467" s="137"/>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2.75" customHeight="1" spans="1:26">
      <c r="A468" s="81"/>
      <c r="B468" s="137"/>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2.75" customHeight="1" spans="1:26">
      <c r="A469" s="81"/>
      <c r="B469" s="137"/>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2.75" customHeight="1" spans="1:26">
      <c r="A470" s="81"/>
      <c r="B470" s="137"/>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2.75" customHeight="1" spans="1:26">
      <c r="A471" s="81"/>
      <c r="B471" s="137"/>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2.75" customHeight="1" spans="1:26">
      <c r="A472" s="81"/>
      <c r="B472" s="137"/>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2.75" customHeight="1" spans="1:26">
      <c r="A473" s="81"/>
      <c r="B473" s="137"/>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2.75" customHeight="1" spans="1:26">
      <c r="A474" s="81"/>
      <c r="B474" s="137"/>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2.75" customHeight="1" spans="1:26">
      <c r="A475" s="81"/>
      <c r="B475" s="137"/>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2.75" customHeight="1" spans="1:26">
      <c r="A476" s="81"/>
      <c r="B476" s="137"/>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2.75" customHeight="1" spans="1:26">
      <c r="A477" s="81"/>
      <c r="B477" s="137"/>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2.75" customHeight="1" spans="1:26">
      <c r="A478" s="81"/>
      <c r="B478" s="137"/>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2.75" customHeight="1" spans="1:26">
      <c r="A479" s="81"/>
      <c r="B479" s="137"/>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2.75" customHeight="1" spans="1:26">
      <c r="A480" s="81"/>
      <c r="B480" s="137"/>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2.75" customHeight="1" spans="1:26">
      <c r="A481" s="81"/>
      <c r="B481" s="137"/>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2.75" customHeight="1" spans="1:26">
      <c r="A482" s="81"/>
      <c r="B482" s="137"/>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2.75" customHeight="1" spans="1:26">
      <c r="A483" s="81"/>
      <c r="B483" s="137"/>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2.75" customHeight="1" spans="1:26">
      <c r="A484" s="81"/>
      <c r="B484" s="137"/>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2.75" customHeight="1" spans="1:26">
      <c r="A485" s="81"/>
      <c r="B485" s="137"/>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2.75" customHeight="1" spans="1:26">
      <c r="A486" s="81"/>
      <c r="B486" s="137"/>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2.75" customHeight="1" spans="1:26">
      <c r="A487" s="81"/>
      <c r="B487" s="137"/>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2.75" customHeight="1" spans="1:26">
      <c r="A488" s="81"/>
      <c r="B488" s="137"/>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2.75" customHeight="1" spans="1:26">
      <c r="A489" s="81"/>
      <c r="B489" s="137"/>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2.75" customHeight="1" spans="1:26">
      <c r="A490" s="81"/>
      <c r="B490" s="137"/>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2.75" customHeight="1" spans="1:26">
      <c r="A491" s="81"/>
      <c r="B491" s="137"/>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2.75" customHeight="1" spans="1:26">
      <c r="A492" s="81"/>
      <c r="B492" s="137"/>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2.75" customHeight="1" spans="1:26">
      <c r="A493" s="81"/>
      <c r="B493" s="137"/>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2.75" customHeight="1" spans="1:26">
      <c r="A494" s="81"/>
      <c r="B494" s="137"/>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2.75" customHeight="1" spans="1:26">
      <c r="A495" s="81"/>
      <c r="B495" s="137"/>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2.75" customHeight="1" spans="1:26">
      <c r="A496" s="81"/>
      <c r="B496" s="137"/>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2.75" customHeight="1" spans="1:26">
      <c r="A497" s="81"/>
      <c r="B497" s="137"/>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2.75" customHeight="1" spans="1:26">
      <c r="A498" s="81"/>
      <c r="B498" s="137"/>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2.75" customHeight="1" spans="1:26">
      <c r="A499" s="81"/>
      <c r="B499" s="137"/>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2.75" customHeight="1" spans="1:26">
      <c r="A500" s="81"/>
      <c r="B500" s="137"/>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2.75" customHeight="1" spans="1:26">
      <c r="A501" s="81"/>
      <c r="B501" s="137"/>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2.75" customHeight="1" spans="1:26">
      <c r="A502" s="81"/>
      <c r="B502" s="137"/>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2.75" customHeight="1" spans="1:26">
      <c r="A503" s="81"/>
      <c r="B503" s="137"/>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2.75" customHeight="1" spans="1:26">
      <c r="A504" s="81"/>
      <c r="B504" s="137"/>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2.75" customHeight="1" spans="1:26">
      <c r="A505" s="81"/>
      <c r="B505" s="137"/>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2.75" customHeight="1" spans="1:26">
      <c r="A506" s="81"/>
      <c r="B506" s="137"/>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2.75" customHeight="1" spans="1:26">
      <c r="A507" s="81"/>
      <c r="B507" s="137"/>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2.75" customHeight="1" spans="1:26">
      <c r="A508" s="81"/>
      <c r="B508" s="137"/>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2.75" customHeight="1" spans="1:26">
      <c r="A509" s="81"/>
      <c r="B509" s="137"/>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2.75" customHeight="1" spans="1:26">
      <c r="A510" s="81"/>
      <c r="B510" s="137"/>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2.75" customHeight="1" spans="1:26">
      <c r="A511" s="81"/>
      <c r="B511" s="137"/>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2.75" customHeight="1" spans="1:26">
      <c r="A512" s="81"/>
      <c r="B512" s="137"/>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2.75" customHeight="1" spans="1:26">
      <c r="A513" s="81"/>
      <c r="B513" s="137"/>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2.75" customHeight="1" spans="1:26">
      <c r="A514" s="81"/>
      <c r="B514" s="137"/>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2.75" customHeight="1" spans="1:26">
      <c r="A515" s="81"/>
      <c r="B515" s="137"/>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2.75" customHeight="1" spans="1:26">
      <c r="A516" s="81"/>
      <c r="B516" s="137"/>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2.75" customHeight="1" spans="1:26">
      <c r="A517" s="81"/>
      <c r="B517" s="137"/>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2.75" customHeight="1" spans="1:26">
      <c r="A518" s="81"/>
      <c r="B518" s="137"/>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2.75" customHeight="1" spans="1:26">
      <c r="A519" s="81"/>
      <c r="B519" s="137"/>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2.75" customHeight="1" spans="1:26">
      <c r="A520" s="81"/>
      <c r="B520" s="137"/>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2.75" customHeight="1" spans="1:26">
      <c r="A521" s="81"/>
      <c r="B521" s="137"/>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2.75" customHeight="1" spans="1:26">
      <c r="A522" s="81"/>
      <c r="B522" s="137"/>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2.75" customHeight="1" spans="1:26">
      <c r="A523" s="81"/>
      <c r="B523" s="137"/>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2.75" customHeight="1" spans="1:26">
      <c r="A524" s="81"/>
      <c r="B524" s="137"/>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2.75" customHeight="1" spans="1:26">
      <c r="A525" s="81"/>
      <c r="B525" s="137"/>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2.75" customHeight="1" spans="1:26">
      <c r="A526" s="81"/>
      <c r="B526" s="137"/>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2.75" customHeight="1" spans="1:26">
      <c r="A527" s="81"/>
      <c r="B527" s="137"/>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2.75" customHeight="1" spans="1:26">
      <c r="A528" s="81"/>
      <c r="B528" s="137"/>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2.75" customHeight="1" spans="1:26">
      <c r="A529" s="81"/>
      <c r="B529" s="137"/>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2.75" customHeight="1" spans="1:26">
      <c r="A530" s="81"/>
      <c r="B530" s="137"/>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2.75" customHeight="1" spans="1:26">
      <c r="A531" s="81"/>
      <c r="B531" s="137"/>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2.75" customHeight="1" spans="1:26">
      <c r="A532" s="81"/>
      <c r="B532" s="137"/>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2.75" customHeight="1" spans="1:26">
      <c r="A533" s="81"/>
      <c r="B533" s="137"/>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2.75" customHeight="1" spans="1:26">
      <c r="A534" s="81"/>
      <c r="B534" s="137"/>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2.75" customHeight="1" spans="1:26">
      <c r="A535" s="81"/>
      <c r="B535" s="137"/>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2.75" customHeight="1" spans="1:26">
      <c r="A536" s="81"/>
      <c r="B536" s="137"/>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2.75" customHeight="1" spans="1:26">
      <c r="A537" s="81"/>
      <c r="B537" s="137"/>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2.75" customHeight="1" spans="1:26">
      <c r="A538" s="81"/>
      <c r="B538" s="137"/>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2.75" customHeight="1" spans="1:26">
      <c r="A539" s="81"/>
      <c r="B539" s="137"/>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2.75" customHeight="1" spans="1:26">
      <c r="A540" s="81"/>
      <c r="B540" s="137"/>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2.75" customHeight="1" spans="1:26">
      <c r="A541" s="81"/>
      <c r="B541" s="137"/>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2.75" customHeight="1" spans="1:26">
      <c r="A542" s="81"/>
      <c r="B542" s="137"/>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2.75" customHeight="1" spans="1:26">
      <c r="A543" s="81"/>
      <c r="B543" s="137"/>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2.75" customHeight="1" spans="1:26">
      <c r="A544" s="81"/>
      <c r="B544" s="137"/>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2.75" customHeight="1" spans="1:26">
      <c r="A545" s="81"/>
      <c r="B545" s="137"/>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2.75" customHeight="1" spans="1:26">
      <c r="A546" s="81"/>
      <c r="B546" s="137"/>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2.75" customHeight="1" spans="1:26">
      <c r="A547" s="81"/>
      <c r="B547" s="137"/>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2.75" customHeight="1" spans="1:26">
      <c r="A548" s="81"/>
      <c r="B548" s="137"/>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2.75" customHeight="1" spans="1:26">
      <c r="A549" s="81"/>
      <c r="B549" s="137"/>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2.75" customHeight="1" spans="1:26">
      <c r="A550" s="81"/>
      <c r="B550" s="137"/>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2.75" customHeight="1" spans="1:26">
      <c r="A551" s="81"/>
      <c r="B551" s="137"/>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2.75" customHeight="1" spans="1:26">
      <c r="A552" s="81"/>
      <c r="B552" s="137"/>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2.75" customHeight="1" spans="1:26">
      <c r="A553" s="81"/>
      <c r="B553" s="137"/>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2.75" customHeight="1" spans="1:26">
      <c r="A554" s="81"/>
      <c r="B554" s="137"/>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2.75" customHeight="1" spans="1:26">
      <c r="A555" s="81"/>
      <c r="B555" s="137"/>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2.75" customHeight="1" spans="1:26">
      <c r="A556" s="81"/>
      <c r="B556" s="137"/>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2.75" customHeight="1" spans="1:26">
      <c r="A557" s="81"/>
      <c r="B557" s="137"/>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2.75" customHeight="1" spans="1:26">
      <c r="A558" s="81"/>
      <c r="B558" s="137"/>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2.75" customHeight="1" spans="1:26">
      <c r="A559" s="81"/>
      <c r="B559" s="137"/>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2.75" customHeight="1" spans="1:26">
      <c r="A560" s="81"/>
      <c r="B560" s="137"/>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2.75" customHeight="1" spans="1:26">
      <c r="A561" s="81"/>
      <c r="B561" s="137"/>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2.75" customHeight="1" spans="1:26">
      <c r="A562" s="81"/>
      <c r="B562" s="137"/>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2.75" customHeight="1" spans="1:26">
      <c r="A563" s="81"/>
      <c r="B563" s="137"/>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2.75" customHeight="1" spans="1:26">
      <c r="A564" s="81"/>
      <c r="B564" s="137"/>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2.75" customHeight="1" spans="1:26">
      <c r="A565" s="81"/>
      <c r="B565" s="137"/>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2.75" customHeight="1" spans="1:26">
      <c r="A566" s="81"/>
      <c r="B566" s="137"/>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2.75" customHeight="1" spans="1:26">
      <c r="A567" s="81"/>
      <c r="B567" s="137"/>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2.75" customHeight="1" spans="1:26">
      <c r="A568" s="81"/>
      <c r="B568" s="137"/>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2.75" customHeight="1" spans="1:26">
      <c r="A569" s="81"/>
      <c r="B569" s="137"/>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2.75" customHeight="1" spans="1:26">
      <c r="A570" s="81"/>
      <c r="B570" s="137"/>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2.75" customHeight="1" spans="1:26">
      <c r="A571" s="81"/>
      <c r="B571" s="137"/>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2.75" customHeight="1" spans="1:26">
      <c r="A572" s="81"/>
      <c r="B572" s="137"/>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2.75" customHeight="1" spans="1:26">
      <c r="A573" s="81"/>
      <c r="B573" s="137"/>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2.75" customHeight="1" spans="1:26">
      <c r="A574" s="81"/>
      <c r="B574" s="137"/>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2.75" customHeight="1" spans="1:26">
      <c r="A575" s="81"/>
      <c r="B575" s="137"/>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2.75" customHeight="1" spans="1:26">
      <c r="A576" s="81"/>
      <c r="B576" s="137"/>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2.75" customHeight="1" spans="1:26">
      <c r="A577" s="81"/>
      <c r="B577" s="137"/>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2.75" customHeight="1" spans="1:26">
      <c r="A578" s="81"/>
      <c r="B578" s="137"/>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2.75" customHeight="1" spans="1:26">
      <c r="A579" s="81"/>
      <c r="B579" s="137"/>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2.75" customHeight="1" spans="1:26">
      <c r="A580" s="81"/>
      <c r="B580" s="137"/>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2.75" customHeight="1" spans="1:26">
      <c r="A581" s="81"/>
      <c r="B581" s="137"/>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2.75" customHeight="1" spans="1:26">
      <c r="A582" s="81"/>
      <c r="B582" s="137"/>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2.75" customHeight="1" spans="1:26">
      <c r="A583" s="81"/>
      <c r="B583" s="137"/>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2.75" customHeight="1" spans="1:26">
      <c r="A584" s="81"/>
      <c r="B584" s="137"/>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2.75" customHeight="1" spans="1:26">
      <c r="A585" s="81"/>
      <c r="B585" s="137"/>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2.75" customHeight="1" spans="1:26">
      <c r="A586" s="81"/>
      <c r="B586" s="137"/>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2.75" customHeight="1" spans="1:26">
      <c r="A587" s="81"/>
      <c r="B587" s="137"/>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2.75" customHeight="1" spans="1:26">
      <c r="A588" s="81"/>
      <c r="B588" s="137"/>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2.75" customHeight="1" spans="1:26">
      <c r="A589" s="81"/>
      <c r="B589" s="137"/>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2.75" customHeight="1" spans="1:26">
      <c r="A590" s="81"/>
      <c r="B590" s="137"/>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2.75" customHeight="1" spans="1:26">
      <c r="A591" s="81"/>
      <c r="B591" s="137"/>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2.75" customHeight="1" spans="1:26">
      <c r="A592" s="81"/>
      <c r="B592" s="137"/>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2.75" customHeight="1" spans="1:26">
      <c r="A593" s="81"/>
      <c r="B593" s="137"/>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2.75" customHeight="1" spans="1:26">
      <c r="A594" s="81"/>
      <c r="B594" s="137"/>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2.75" customHeight="1" spans="1:26">
      <c r="A595" s="81"/>
      <c r="B595" s="137"/>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2.75" customHeight="1" spans="1:26">
      <c r="A596" s="81"/>
      <c r="B596" s="137"/>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2.75" customHeight="1" spans="1:26">
      <c r="A597" s="81"/>
      <c r="B597" s="137"/>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2.75" customHeight="1" spans="1:26">
      <c r="A598" s="81"/>
      <c r="B598" s="137"/>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2.75" customHeight="1" spans="1:26">
      <c r="A599" s="81"/>
      <c r="B599" s="137"/>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2.75" customHeight="1" spans="1:26">
      <c r="A600" s="81"/>
      <c r="B600" s="137"/>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2.75" customHeight="1" spans="1:26">
      <c r="A601" s="81"/>
      <c r="B601" s="137"/>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2.75" customHeight="1" spans="1:26">
      <c r="A602" s="81"/>
      <c r="B602" s="137"/>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2.75" customHeight="1" spans="1:26">
      <c r="A603" s="81"/>
      <c r="B603" s="137"/>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2.75" customHeight="1" spans="1:26">
      <c r="A604" s="81"/>
      <c r="B604" s="137"/>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2.75" customHeight="1" spans="1:26">
      <c r="A605" s="81"/>
      <c r="B605" s="137"/>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2.75" customHeight="1" spans="1:26">
      <c r="A606" s="81"/>
      <c r="B606" s="137"/>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2.75" customHeight="1" spans="1:26">
      <c r="A607" s="81"/>
      <c r="B607" s="137"/>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2.75" customHeight="1" spans="1:26">
      <c r="A608" s="81"/>
      <c r="B608" s="137"/>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2.75" customHeight="1" spans="1:26">
      <c r="A609" s="81"/>
      <c r="B609" s="137"/>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2.75" customHeight="1" spans="1:26">
      <c r="A610" s="81"/>
      <c r="B610" s="137"/>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2.75" customHeight="1" spans="1:26">
      <c r="A611" s="81"/>
      <c r="B611" s="137"/>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2.75" customHeight="1" spans="1:26">
      <c r="A612" s="81"/>
      <c r="B612" s="137"/>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2.75" customHeight="1" spans="1:26">
      <c r="A613" s="81"/>
      <c r="B613" s="137"/>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2.75" customHeight="1" spans="1:26">
      <c r="A614" s="81"/>
      <c r="B614" s="137"/>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2.75" customHeight="1" spans="1:26">
      <c r="A615" s="81"/>
      <c r="B615" s="137"/>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2.75" customHeight="1" spans="1:26">
      <c r="A616" s="81"/>
      <c r="B616" s="137"/>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2.75" customHeight="1" spans="1:26">
      <c r="A617" s="81"/>
      <c r="B617" s="137"/>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2.75" customHeight="1" spans="1:26">
      <c r="A618" s="81"/>
      <c r="B618" s="137"/>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2.75" customHeight="1" spans="1:26">
      <c r="A619" s="81"/>
      <c r="B619" s="137"/>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2.75" customHeight="1" spans="1:26">
      <c r="A620" s="81"/>
      <c r="B620" s="137"/>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2.75" customHeight="1" spans="1:26">
      <c r="A621" s="81"/>
      <c r="B621" s="137"/>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2.75" customHeight="1" spans="1:26">
      <c r="A622" s="81"/>
      <c r="B622" s="137"/>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2.75" customHeight="1" spans="1:26">
      <c r="A623" s="81"/>
      <c r="B623" s="137"/>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2.75" customHeight="1" spans="1:26">
      <c r="A624" s="81"/>
      <c r="B624" s="137"/>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2.75" customHeight="1" spans="1:26">
      <c r="A625" s="81"/>
      <c r="B625" s="137"/>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2.75" customHeight="1" spans="1:26">
      <c r="A626" s="81"/>
      <c r="B626" s="137"/>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2.75" customHeight="1" spans="1:26">
      <c r="A627" s="81"/>
      <c r="B627" s="137"/>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2.75" customHeight="1" spans="1:26">
      <c r="A628" s="81"/>
      <c r="B628" s="137"/>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2.75" customHeight="1" spans="1:26">
      <c r="A629" s="81"/>
      <c r="B629" s="137"/>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2.75" customHeight="1" spans="1:26">
      <c r="A630" s="81"/>
      <c r="B630" s="137"/>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2.75" customHeight="1" spans="1:26">
      <c r="A631" s="81"/>
      <c r="B631" s="137"/>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2.75" customHeight="1" spans="1:26">
      <c r="A632" s="81"/>
      <c r="B632" s="137"/>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2.75" customHeight="1" spans="1:26">
      <c r="A633" s="81"/>
      <c r="B633" s="137"/>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2.75" customHeight="1" spans="1:26">
      <c r="A634" s="81"/>
      <c r="B634" s="137"/>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2.75" customHeight="1" spans="1:26">
      <c r="A635" s="81"/>
      <c r="B635" s="137"/>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2.75" customHeight="1" spans="1:26">
      <c r="A636" s="81"/>
      <c r="B636" s="137"/>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2.75" customHeight="1" spans="1:26">
      <c r="A637" s="81"/>
      <c r="B637" s="137"/>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2.75" customHeight="1" spans="1:26">
      <c r="A638" s="81"/>
      <c r="B638" s="137"/>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2.75" customHeight="1" spans="1:26">
      <c r="A639" s="81"/>
      <c r="B639" s="137"/>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2.75" customHeight="1" spans="1:26">
      <c r="A640" s="81"/>
      <c r="B640" s="137"/>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2.75" customHeight="1" spans="1:26">
      <c r="A641" s="81"/>
      <c r="B641" s="137"/>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2.75" customHeight="1" spans="1:26">
      <c r="A642" s="81"/>
      <c r="B642" s="137"/>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2.75" customHeight="1" spans="1:26">
      <c r="A643" s="81"/>
      <c r="B643" s="137"/>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2.75" customHeight="1" spans="1:26">
      <c r="A644" s="81"/>
      <c r="B644" s="137"/>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2.75" customHeight="1" spans="1:26">
      <c r="A645" s="81"/>
      <c r="B645" s="137"/>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2.75" customHeight="1" spans="1:26">
      <c r="A646" s="81"/>
      <c r="B646" s="137"/>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2.75" customHeight="1" spans="1:26">
      <c r="A647" s="81"/>
      <c r="B647" s="137"/>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2.75" customHeight="1" spans="1:26">
      <c r="A648" s="81"/>
      <c r="B648" s="137"/>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2.75" customHeight="1" spans="1:26">
      <c r="A649" s="81"/>
      <c r="B649" s="137"/>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2.75" customHeight="1" spans="1:26">
      <c r="A650" s="81"/>
      <c r="B650" s="137"/>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2.75" customHeight="1" spans="1:26">
      <c r="A651" s="81"/>
      <c r="B651" s="137"/>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2.75" customHeight="1" spans="1:26">
      <c r="A652" s="81"/>
      <c r="B652" s="137"/>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2.75" customHeight="1" spans="1:26">
      <c r="A653" s="81"/>
      <c r="B653" s="137"/>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2.75" customHeight="1" spans="1:26">
      <c r="A654" s="81"/>
      <c r="B654" s="137"/>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2.75" customHeight="1" spans="1:26">
      <c r="A655" s="81"/>
      <c r="B655" s="137"/>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2.75" customHeight="1" spans="1:26">
      <c r="A656" s="81"/>
      <c r="B656" s="137"/>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2.75" customHeight="1" spans="1:26">
      <c r="A657" s="81"/>
      <c r="B657" s="137"/>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2.75" customHeight="1" spans="1:26">
      <c r="A658" s="81"/>
      <c r="B658" s="137"/>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2.75" customHeight="1" spans="1:26">
      <c r="A659" s="81"/>
      <c r="B659" s="137"/>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2.75" customHeight="1" spans="1:26">
      <c r="A660" s="81"/>
      <c r="B660" s="137"/>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2.75" customHeight="1" spans="1:26">
      <c r="A661" s="81"/>
      <c r="B661" s="137"/>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2.75" customHeight="1" spans="1:26">
      <c r="A662" s="81"/>
      <c r="B662" s="137"/>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2.75" customHeight="1" spans="1:26">
      <c r="A663" s="81"/>
      <c r="B663" s="137"/>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2.75" customHeight="1" spans="1:26">
      <c r="A664" s="81"/>
      <c r="B664" s="137"/>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2.75" customHeight="1" spans="1:26">
      <c r="A665" s="81"/>
      <c r="B665" s="137"/>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2.75" customHeight="1" spans="1:26">
      <c r="A666" s="81"/>
      <c r="B666" s="137"/>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2.75" customHeight="1" spans="1:26">
      <c r="A667" s="81"/>
      <c r="B667" s="137"/>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2.75" customHeight="1" spans="1:26">
      <c r="A668" s="81"/>
      <c r="B668" s="137"/>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2.75" customHeight="1" spans="1:26">
      <c r="A669" s="81"/>
      <c r="B669" s="137"/>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2.75" customHeight="1" spans="1:26">
      <c r="A670" s="81"/>
      <c r="B670" s="137"/>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2.75" customHeight="1" spans="1:26">
      <c r="A671" s="81"/>
      <c r="B671" s="137"/>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2.75" customHeight="1" spans="1:26">
      <c r="A672" s="81"/>
      <c r="B672" s="137"/>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2.75" customHeight="1" spans="1:26">
      <c r="A673" s="81"/>
      <c r="B673" s="137"/>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2.75" customHeight="1" spans="1:26">
      <c r="A674" s="81"/>
      <c r="B674" s="137"/>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2.75" customHeight="1" spans="1:26">
      <c r="A675" s="81"/>
      <c r="B675" s="137"/>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2.75" customHeight="1" spans="1:26">
      <c r="A676" s="81"/>
      <c r="B676" s="137"/>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2.75" customHeight="1" spans="1:26">
      <c r="A677" s="81"/>
      <c r="B677" s="137"/>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2.75" customHeight="1" spans="1:26">
      <c r="A678" s="81"/>
      <c r="B678" s="137"/>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2.75" customHeight="1" spans="1:26">
      <c r="A679" s="81"/>
      <c r="B679" s="137"/>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2.75" customHeight="1" spans="1:26">
      <c r="A680" s="81"/>
      <c r="B680" s="137"/>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2.75" customHeight="1" spans="1:26">
      <c r="A681" s="81"/>
      <c r="B681" s="137"/>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2.75" customHeight="1" spans="1:26">
      <c r="A682" s="81"/>
      <c r="B682" s="137"/>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2.75" customHeight="1" spans="1:26">
      <c r="A683" s="81"/>
      <c r="B683" s="137"/>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2.75" customHeight="1" spans="1:26">
      <c r="A684" s="81"/>
      <c r="B684" s="137"/>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2.75" customHeight="1" spans="1:26">
      <c r="A685" s="81"/>
      <c r="B685" s="137"/>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2.75" customHeight="1" spans="1:26">
      <c r="A686" s="81"/>
      <c r="B686" s="137"/>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2.75" customHeight="1" spans="1:26">
      <c r="A687" s="81"/>
      <c r="B687" s="137"/>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2.75" customHeight="1" spans="1:26">
      <c r="A688" s="81"/>
      <c r="B688" s="137"/>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2.75" customHeight="1" spans="1:26">
      <c r="A689" s="81"/>
      <c r="B689" s="137"/>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2.75" customHeight="1" spans="1:26">
      <c r="A690" s="81"/>
      <c r="B690" s="137"/>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2.75" customHeight="1" spans="1:26">
      <c r="A691" s="81"/>
      <c r="B691" s="137"/>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2.75" customHeight="1" spans="1:26">
      <c r="A692" s="81"/>
      <c r="B692" s="137"/>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2.75" customHeight="1" spans="1:26">
      <c r="A693" s="81"/>
      <c r="B693" s="137"/>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2.75" customHeight="1" spans="1:26">
      <c r="A694" s="81"/>
      <c r="B694" s="137"/>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2.75" customHeight="1" spans="1:26">
      <c r="A695" s="81"/>
      <c r="B695" s="137"/>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2.75" customHeight="1" spans="1:26">
      <c r="A696" s="81"/>
      <c r="B696" s="137"/>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2.75" customHeight="1" spans="1:26">
      <c r="A697" s="81"/>
      <c r="B697" s="137"/>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2.75" customHeight="1" spans="1:26">
      <c r="A698" s="81"/>
      <c r="B698" s="137"/>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2.75" customHeight="1" spans="1:26">
      <c r="A699" s="81"/>
      <c r="B699" s="137"/>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2.75" customHeight="1" spans="1:26">
      <c r="A700" s="81"/>
      <c r="B700" s="137"/>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2.75" customHeight="1" spans="1:26">
      <c r="A701" s="81"/>
      <c r="B701" s="137"/>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2.75" customHeight="1" spans="1:26">
      <c r="A702" s="81"/>
      <c r="B702" s="137"/>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2.75" customHeight="1" spans="1:26">
      <c r="A703" s="81"/>
      <c r="B703" s="137"/>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2.75" customHeight="1" spans="1:26">
      <c r="A704" s="81"/>
      <c r="B704" s="137"/>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2.75" customHeight="1" spans="1:26">
      <c r="A705" s="81"/>
      <c r="B705" s="137"/>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2.75" customHeight="1" spans="1:26">
      <c r="A706" s="81"/>
      <c r="B706" s="137"/>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2.75" customHeight="1" spans="1:26">
      <c r="A707" s="81"/>
      <c r="B707" s="137"/>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2.75" customHeight="1" spans="1:26">
      <c r="A708" s="81"/>
      <c r="B708" s="137"/>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2.75" customHeight="1" spans="1:26">
      <c r="A709" s="81"/>
      <c r="B709" s="137"/>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2.75" customHeight="1" spans="1:26">
      <c r="A710" s="81"/>
      <c r="B710" s="137"/>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2.75" customHeight="1" spans="1:26">
      <c r="A711" s="81"/>
      <c r="B711" s="137"/>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2.75" customHeight="1" spans="1:26">
      <c r="A712" s="81"/>
      <c r="B712" s="137"/>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2.75" customHeight="1" spans="1:26">
      <c r="A713" s="81"/>
      <c r="B713" s="137"/>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2.75" customHeight="1" spans="1:26">
      <c r="A714" s="81"/>
      <c r="B714" s="137"/>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2.75" customHeight="1" spans="1:26">
      <c r="A715" s="81"/>
      <c r="B715" s="137"/>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2.75" customHeight="1" spans="1:26">
      <c r="A716" s="81"/>
      <c r="B716" s="137"/>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2.75" customHeight="1" spans="1:26">
      <c r="A717" s="81"/>
      <c r="B717" s="137"/>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2.75" customHeight="1" spans="1:26">
      <c r="A718" s="81"/>
      <c r="B718" s="137"/>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2.75" customHeight="1" spans="1:26">
      <c r="A719" s="81"/>
      <c r="B719" s="137"/>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2.75" customHeight="1" spans="1:26">
      <c r="A720" s="81"/>
      <c r="B720" s="137"/>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2.75" customHeight="1" spans="1:26">
      <c r="A721" s="81"/>
      <c r="B721" s="137"/>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2.75" customHeight="1" spans="1:26">
      <c r="A722" s="81"/>
      <c r="B722" s="137"/>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2.75" customHeight="1" spans="1:26">
      <c r="A723" s="81"/>
      <c r="B723" s="137"/>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2.75" customHeight="1" spans="1:26">
      <c r="A724" s="81"/>
      <c r="B724" s="137"/>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2.75" customHeight="1" spans="1:26">
      <c r="A725" s="81"/>
      <c r="B725" s="137"/>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2.75" customHeight="1" spans="1:26">
      <c r="A726" s="81"/>
      <c r="B726" s="137"/>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2.75" customHeight="1" spans="1:26">
      <c r="A727" s="81"/>
      <c r="B727" s="137"/>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2.75" customHeight="1" spans="1:26">
      <c r="A728" s="81"/>
      <c r="B728" s="137"/>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2.75" customHeight="1" spans="1:26">
      <c r="A729" s="81"/>
      <c r="B729" s="137"/>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2.75" customHeight="1" spans="1:26">
      <c r="A730" s="81"/>
      <c r="B730" s="137"/>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2.75" customHeight="1" spans="1:26">
      <c r="A731" s="81"/>
      <c r="B731" s="137"/>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2.75" customHeight="1" spans="1:26">
      <c r="A732" s="81"/>
      <c r="B732" s="137"/>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2.75" customHeight="1" spans="1:26">
      <c r="A733" s="81"/>
      <c r="B733" s="137"/>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2.75" customHeight="1" spans="1:26">
      <c r="A734" s="81"/>
      <c r="B734" s="137"/>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2.75" customHeight="1" spans="1:26">
      <c r="A735" s="81"/>
      <c r="B735" s="137"/>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2.75" customHeight="1" spans="1:26">
      <c r="A736" s="81"/>
      <c r="B736" s="137"/>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2.75" customHeight="1" spans="1:26">
      <c r="A737" s="81"/>
      <c r="B737" s="137"/>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2.75" customHeight="1" spans="1:26">
      <c r="A738" s="81"/>
      <c r="B738" s="137"/>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2.75" customHeight="1" spans="1:26">
      <c r="A739" s="81"/>
      <c r="B739" s="137"/>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2.75" customHeight="1" spans="1:26">
      <c r="A740" s="81"/>
      <c r="B740" s="137"/>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2.75" customHeight="1" spans="1:26">
      <c r="A741" s="81"/>
      <c r="B741" s="137"/>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2.75" customHeight="1" spans="1:26">
      <c r="A742" s="81"/>
      <c r="B742" s="137"/>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2.75" customHeight="1" spans="1:26">
      <c r="A743" s="81"/>
      <c r="B743" s="137"/>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2.75" customHeight="1" spans="1:26">
      <c r="A744" s="81"/>
      <c r="B744" s="137"/>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2.75" customHeight="1" spans="1:26">
      <c r="A745" s="81"/>
      <c r="B745" s="137"/>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2.75" customHeight="1" spans="1:26">
      <c r="A746" s="81"/>
      <c r="B746" s="137"/>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2.75" customHeight="1" spans="1:26">
      <c r="A747" s="81"/>
      <c r="B747" s="137"/>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2.75" customHeight="1" spans="1:26">
      <c r="A748" s="81"/>
      <c r="B748" s="137"/>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2.75" customHeight="1" spans="1:26">
      <c r="A749" s="81"/>
      <c r="B749" s="137"/>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2.75" customHeight="1" spans="1:26">
      <c r="A750" s="81"/>
      <c r="B750" s="137"/>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2.75" customHeight="1" spans="1:26">
      <c r="A751" s="81"/>
      <c r="B751" s="137"/>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2.75" customHeight="1" spans="1:26">
      <c r="A752" s="81"/>
      <c r="B752" s="137"/>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2.75" customHeight="1" spans="1:26">
      <c r="A753" s="81"/>
      <c r="B753" s="137"/>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2.75" customHeight="1" spans="1:26">
      <c r="A754" s="81"/>
      <c r="B754" s="137"/>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2.75" customHeight="1" spans="1:26">
      <c r="A755" s="81"/>
      <c r="B755" s="137"/>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2.75" customHeight="1" spans="1:26">
      <c r="A756" s="81"/>
      <c r="B756" s="137"/>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2.75" customHeight="1" spans="1:26">
      <c r="A757" s="81"/>
      <c r="B757" s="137"/>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2.75" customHeight="1" spans="1:26">
      <c r="A758" s="81"/>
      <c r="B758" s="137"/>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2.75" customHeight="1" spans="1:26">
      <c r="A759" s="81"/>
      <c r="B759" s="137"/>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2.75" customHeight="1" spans="1:26">
      <c r="A760" s="81"/>
      <c r="B760" s="137"/>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2.75" customHeight="1" spans="1:26">
      <c r="A761" s="81"/>
      <c r="B761" s="137"/>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2.75" customHeight="1" spans="1:26">
      <c r="A762" s="81"/>
      <c r="B762" s="137"/>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2.75" customHeight="1" spans="1:26">
      <c r="A763" s="81"/>
      <c r="B763" s="137"/>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2.75" customHeight="1" spans="1:26">
      <c r="A764" s="81"/>
      <c r="B764" s="137"/>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2.75" customHeight="1" spans="1:26">
      <c r="A765" s="81"/>
      <c r="B765" s="137"/>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2.75" customHeight="1" spans="1:26">
      <c r="A766" s="81"/>
      <c r="B766" s="137"/>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2.75" customHeight="1" spans="1:26">
      <c r="A767" s="81"/>
      <c r="B767" s="137"/>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2.75" customHeight="1" spans="1:26">
      <c r="A768" s="81"/>
      <c r="B768" s="137"/>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2.75" customHeight="1" spans="1:26">
      <c r="A769" s="81"/>
      <c r="B769" s="137"/>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2.75" customHeight="1" spans="1:26">
      <c r="A770" s="81"/>
      <c r="B770" s="137"/>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2.75" customHeight="1" spans="1:26">
      <c r="A771" s="81"/>
      <c r="B771" s="137"/>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2.75" customHeight="1" spans="1:26">
      <c r="A772" s="81"/>
      <c r="B772" s="137"/>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2.75" customHeight="1" spans="1:26">
      <c r="A773" s="81"/>
      <c r="B773" s="137"/>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2.75" customHeight="1" spans="1:26">
      <c r="A774" s="81"/>
      <c r="B774" s="137"/>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2.75" customHeight="1" spans="1:26">
      <c r="A775" s="81"/>
      <c r="B775" s="137"/>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2.75" customHeight="1" spans="1:26">
      <c r="A776" s="81"/>
      <c r="B776" s="137"/>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2.75" customHeight="1" spans="1:26">
      <c r="A777" s="81"/>
      <c r="B777" s="137"/>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2.75" customHeight="1" spans="1:26">
      <c r="A778" s="81"/>
      <c r="B778" s="137"/>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2.75" customHeight="1" spans="1:26">
      <c r="A779" s="81"/>
      <c r="B779" s="137"/>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2.75" customHeight="1" spans="1:26">
      <c r="A780" s="81"/>
      <c r="B780" s="137"/>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2.75" customHeight="1" spans="1:26">
      <c r="A781" s="81"/>
      <c r="B781" s="137"/>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2.75" customHeight="1" spans="1:26">
      <c r="A782" s="81"/>
      <c r="B782" s="137"/>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2.75" customHeight="1" spans="1:26">
      <c r="A783" s="81"/>
      <c r="B783" s="137"/>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2.75" customHeight="1" spans="1:26">
      <c r="A784" s="81"/>
      <c r="B784" s="137"/>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2.75" customHeight="1" spans="1:26">
      <c r="A785" s="81"/>
      <c r="B785" s="137"/>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2.75" customHeight="1" spans="1:26">
      <c r="A786" s="81"/>
      <c r="B786" s="137"/>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2.75" customHeight="1" spans="1:26">
      <c r="A787" s="81"/>
      <c r="B787" s="137"/>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2.75" customHeight="1" spans="1:26">
      <c r="A788" s="81"/>
      <c r="B788" s="137"/>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2.75" customHeight="1" spans="1:26">
      <c r="A789" s="81"/>
      <c r="B789" s="137"/>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2.75" customHeight="1" spans="1:26">
      <c r="A790" s="81"/>
      <c r="B790" s="137"/>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2.75" customHeight="1" spans="1:26">
      <c r="A791" s="81"/>
      <c r="B791" s="137"/>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2.75" customHeight="1" spans="1:26">
      <c r="A792" s="81"/>
      <c r="B792" s="137"/>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2.75" customHeight="1" spans="1:26">
      <c r="A793" s="81"/>
      <c r="B793" s="137"/>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2.75" customHeight="1" spans="1:26">
      <c r="A794" s="81"/>
      <c r="B794" s="137"/>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2.75" customHeight="1" spans="1:26">
      <c r="A795" s="81"/>
      <c r="B795" s="137"/>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2.75" customHeight="1" spans="1:26">
      <c r="A796" s="81"/>
      <c r="B796" s="137"/>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2.75" customHeight="1" spans="1:26">
      <c r="A797" s="81"/>
      <c r="B797" s="137"/>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2.75" customHeight="1" spans="1:26">
      <c r="A798" s="81"/>
      <c r="B798" s="137"/>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2.75" customHeight="1" spans="1:26">
      <c r="A799" s="81"/>
      <c r="B799" s="137"/>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2.75" customHeight="1" spans="1:26">
      <c r="A800" s="81"/>
      <c r="B800" s="137"/>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2.75" customHeight="1" spans="1:26">
      <c r="A801" s="81"/>
      <c r="B801" s="137"/>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2.75" customHeight="1" spans="1:26">
      <c r="A802" s="81"/>
      <c r="B802" s="137"/>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2.75" customHeight="1" spans="1:26">
      <c r="A803" s="81"/>
      <c r="B803" s="137"/>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2.75" customHeight="1" spans="1:26">
      <c r="A804" s="81"/>
      <c r="B804" s="137"/>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2.75" customHeight="1" spans="1:26">
      <c r="A805" s="81"/>
      <c r="B805" s="137"/>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2.75" customHeight="1" spans="1:26">
      <c r="A806" s="81"/>
      <c r="B806" s="137"/>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2.75" customHeight="1" spans="1:26">
      <c r="A807" s="81"/>
      <c r="B807" s="137"/>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2.75" customHeight="1" spans="1:26">
      <c r="A808" s="81"/>
      <c r="B808" s="137"/>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2.75" customHeight="1" spans="1:26">
      <c r="A809" s="81"/>
      <c r="B809" s="137"/>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2.75" customHeight="1" spans="1:26">
      <c r="A810" s="81"/>
      <c r="B810" s="137"/>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2.75" customHeight="1" spans="1:26">
      <c r="A811" s="81"/>
      <c r="B811" s="137"/>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2.75" customHeight="1" spans="1:26">
      <c r="A812" s="81"/>
      <c r="B812" s="137"/>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2.75" customHeight="1" spans="1:26">
      <c r="A813" s="81"/>
      <c r="B813" s="137"/>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2.75" customHeight="1" spans="1:26">
      <c r="A814" s="81"/>
      <c r="B814" s="137"/>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2.75" customHeight="1" spans="1:26">
      <c r="A815" s="81"/>
      <c r="B815" s="137"/>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2.75" customHeight="1" spans="1:26">
      <c r="A816" s="81"/>
      <c r="B816" s="137"/>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2.75" customHeight="1" spans="1:26">
      <c r="A817" s="81"/>
      <c r="B817" s="137"/>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2.75" customHeight="1" spans="1:26">
      <c r="A818" s="81"/>
      <c r="B818" s="137"/>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2.75" customHeight="1" spans="1:26">
      <c r="A819" s="81"/>
      <c r="B819" s="137"/>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2.75" customHeight="1" spans="1:26">
      <c r="A820" s="81"/>
      <c r="B820" s="137"/>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2.75" customHeight="1" spans="1:26">
      <c r="A821" s="81"/>
      <c r="B821" s="137"/>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2.75" customHeight="1" spans="1:26">
      <c r="A822" s="81"/>
      <c r="B822" s="137"/>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2.75" customHeight="1" spans="1:26">
      <c r="A823" s="81"/>
      <c r="B823" s="137"/>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2.75" customHeight="1" spans="1:26">
      <c r="A824" s="81"/>
      <c r="B824" s="137"/>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2.75" customHeight="1" spans="1:26">
      <c r="A825" s="81"/>
      <c r="B825" s="137"/>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2.75" customHeight="1" spans="1:26">
      <c r="A826" s="81"/>
      <c r="B826" s="137"/>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2.75" customHeight="1" spans="1:26">
      <c r="A827" s="81"/>
      <c r="B827" s="137"/>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2.75" customHeight="1" spans="1:26">
      <c r="A828" s="81"/>
      <c r="B828" s="137"/>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2.75" customHeight="1" spans="1:26">
      <c r="A829" s="81"/>
      <c r="B829" s="137"/>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2.75" customHeight="1" spans="1:26">
      <c r="A830" s="81"/>
      <c r="B830" s="137"/>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2.75" customHeight="1" spans="1:26">
      <c r="A831" s="81"/>
      <c r="B831" s="137"/>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2.75" customHeight="1" spans="1:26">
      <c r="A832" s="81"/>
      <c r="B832" s="137"/>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2.75" customHeight="1" spans="1:26">
      <c r="A833" s="81"/>
      <c r="B833" s="137"/>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2.75" customHeight="1" spans="1:26">
      <c r="A834" s="81"/>
      <c r="B834" s="137"/>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2.75" customHeight="1" spans="1:26">
      <c r="A835" s="81"/>
      <c r="B835" s="137"/>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2.75" customHeight="1" spans="1:26">
      <c r="A836" s="81"/>
      <c r="B836" s="137"/>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2.75" customHeight="1" spans="1:26">
      <c r="A837" s="81"/>
      <c r="B837" s="137"/>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2.75" customHeight="1" spans="1:26">
      <c r="A838" s="81"/>
      <c r="B838" s="137"/>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2.75" customHeight="1" spans="1:26">
      <c r="A839" s="81"/>
      <c r="B839" s="137"/>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2.75" customHeight="1" spans="1:26">
      <c r="A840" s="81"/>
      <c r="B840" s="137"/>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2.75" customHeight="1" spans="1:26">
      <c r="A841" s="81"/>
      <c r="B841" s="137"/>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2.75" customHeight="1" spans="1:26">
      <c r="A842" s="81"/>
      <c r="B842" s="137"/>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2.75" customHeight="1" spans="1:26">
      <c r="A843" s="81"/>
      <c r="B843" s="137"/>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2.75" customHeight="1" spans="1:26">
      <c r="A844" s="81"/>
      <c r="B844" s="137"/>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2.75" customHeight="1" spans="1:26">
      <c r="A845" s="81"/>
      <c r="B845" s="137"/>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2.75" customHeight="1" spans="1:26">
      <c r="A846" s="81"/>
      <c r="B846" s="137"/>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2.75" customHeight="1" spans="1:26">
      <c r="A847" s="81"/>
      <c r="B847" s="137"/>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2.75" customHeight="1" spans="1:26">
      <c r="A848" s="81"/>
      <c r="B848" s="137"/>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2.75" customHeight="1" spans="1:26">
      <c r="A849" s="81"/>
      <c r="B849" s="137"/>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2.75" customHeight="1" spans="1:26">
      <c r="A850" s="81"/>
      <c r="B850" s="137"/>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2.75" customHeight="1" spans="1:26">
      <c r="A851" s="81"/>
      <c r="B851" s="137"/>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2.75" customHeight="1" spans="1:26">
      <c r="A852" s="81"/>
      <c r="B852" s="137"/>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2.75" customHeight="1" spans="1:26">
      <c r="A853" s="81"/>
      <c r="B853" s="137"/>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2.75" customHeight="1" spans="1:26">
      <c r="A854" s="81"/>
      <c r="B854" s="137"/>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2.75" customHeight="1" spans="1:26">
      <c r="A855" s="81"/>
      <c r="B855" s="137"/>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2.75" customHeight="1" spans="1:26">
      <c r="A856" s="81"/>
      <c r="B856" s="137"/>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2.75" customHeight="1" spans="1:26">
      <c r="A857" s="81"/>
      <c r="B857" s="137"/>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2.75" customHeight="1" spans="1:26">
      <c r="A858" s="81"/>
      <c r="B858" s="137"/>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2.75" customHeight="1" spans="1:26">
      <c r="A859" s="81"/>
      <c r="B859" s="137"/>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2.75" customHeight="1" spans="1:26">
      <c r="A860" s="81"/>
      <c r="B860" s="137"/>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2.75" customHeight="1" spans="1:26">
      <c r="A861" s="81"/>
      <c r="B861" s="137"/>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2.75" customHeight="1" spans="1:26">
      <c r="A862" s="81"/>
      <c r="B862" s="137"/>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2.75" customHeight="1" spans="1:26">
      <c r="A863" s="81"/>
      <c r="B863" s="137"/>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2.75" customHeight="1" spans="1:26">
      <c r="A864" s="81"/>
      <c r="B864" s="137"/>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2.75" customHeight="1" spans="1:26">
      <c r="A865" s="81"/>
      <c r="B865" s="137"/>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2.75" customHeight="1" spans="1:26">
      <c r="A866" s="81"/>
      <c r="B866" s="137"/>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2.75" customHeight="1" spans="1:26">
      <c r="A867" s="81"/>
      <c r="B867" s="137"/>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2.75" customHeight="1" spans="1:26">
      <c r="A868" s="81"/>
      <c r="B868" s="137"/>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2.75" customHeight="1" spans="1:26">
      <c r="A869" s="81"/>
      <c r="B869" s="137"/>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2.75" customHeight="1" spans="1:26">
      <c r="A870" s="81"/>
      <c r="B870" s="137"/>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2.75" customHeight="1" spans="1:26">
      <c r="A871" s="81"/>
      <c r="B871" s="137"/>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2.75" customHeight="1" spans="1:26">
      <c r="A872" s="81"/>
      <c r="B872" s="137"/>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2.75" customHeight="1" spans="1:26">
      <c r="A873" s="81"/>
      <c r="B873" s="137"/>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2.75" customHeight="1" spans="1:26">
      <c r="A874" s="81"/>
      <c r="B874" s="137"/>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2.75" customHeight="1" spans="1:26">
      <c r="A875" s="81"/>
      <c r="B875" s="137"/>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2.75" customHeight="1" spans="1:26">
      <c r="A876" s="81"/>
      <c r="B876" s="137"/>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2.75" customHeight="1" spans="1:26">
      <c r="A877" s="81"/>
      <c r="B877" s="137"/>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2.75" customHeight="1" spans="1:26">
      <c r="A878" s="81"/>
      <c r="B878" s="137"/>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2.75" customHeight="1" spans="1:26">
      <c r="A879" s="81"/>
      <c r="B879" s="137"/>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2.75" customHeight="1" spans="1:26">
      <c r="A880" s="81"/>
      <c r="B880" s="137"/>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2.75" customHeight="1" spans="1:26">
      <c r="A881" s="81"/>
      <c r="B881" s="137"/>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2.75" customHeight="1" spans="1:26">
      <c r="A882" s="81"/>
      <c r="B882" s="137"/>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2.75" customHeight="1" spans="1:26">
      <c r="A883" s="81"/>
      <c r="B883" s="137"/>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2.75" customHeight="1" spans="1:26">
      <c r="A884" s="81"/>
      <c r="B884" s="137"/>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2.75" customHeight="1" spans="1:26">
      <c r="A885" s="81"/>
      <c r="B885" s="137"/>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2.75" customHeight="1" spans="1:26">
      <c r="A886" s="81"/>
      <c r="B886" s="137"/>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2.75" customHeight="1" spans="1:26">
      <c r="A887" s="81"/>
      <c r="B887" s="137"/>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2.75" customHeight="1" spans="1:26">
      <c r="A888" s="81"/>
      <c r="B888" s="137"/>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2.75" customHeight="1" spans="1:26">
      <c r="A889" s="81"/>
      <c r="B889" s="137"/>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2.75" customHeight="1" spans="1:26">
      <c r="A890" s="81"/>
      <c r="B890" s="137"/>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2.75" customHeight="1" spans="1:26">
      <c r="A891" s="81"/>
      <c r="B891" s="137"/>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2.75" customHeight="1" spans="1:26">
      <c r="A892" s="81"/>
      <c r="B892" s="137"/>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2.75" customHeight="1" spans="1:26">
      <c r="A893" s="81"/>
      <c r="B893" s="137"/>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2.75" customHeight="1" spans="1:26">
      <c r="A894" s="81"/>
      <c r="B894" s="137"/>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2.75" customHeight="1" spans="1:26">
      <c r="A895" s="81"/>
      <c r="B895" s="137"/>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2.75" customHeight="1" spans="1:26">
      <c r="A896" s="81"/>
      <c r="B896" s="137"/>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2.75" customHeight="1" spans="1:26">
      <c r="A897" s="81"/>
      <c r="B897" s="137"/>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2.75" customHeight="1" spans="1:26">
      <c r="A898" s="81"/>
      <c r="B898" s="137"/>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2.75" customHeight="1" spans="1:26">
      <c r="A899" s="81"/>
      <c r="B899" s="137"/>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2.75" customHeight="1" spans="1:26">
      <c r="A900" s="81"/>
      <c r="B900" s="137"/>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2.75" customHeight="1" spans="1:26">
      <c r="A901" s="81"/>
      <c r="B901" s="137"/>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2.75" customHeight="1" spans="1:26">
      <c r="A902" s="81"/>
      <c r="B902" s="137"/>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2.75" customHeight="1" spans="1:26">
      <c r="A903" s="81"/>
      <c r="B903" s="137"/>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2.75" customHeight="1" spans="1:26">
      <c r="A904" s="81"/>
      <c r="B904" s="137"/>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2.75" customHeight="1" spans="1:26">
      <c r="A905" s="81"/>
      <c r="B905" s="137"/>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2.75" customHeight="1" spans="1:26">
      <c r="A906" s="81"/>
      <c r="B906" s="137"/>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2.75" customHeight="1" spans="1:26">
      <c r="A907" s="81"/>
      <c r="B907" s="137"/>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2.75" customHeight="1" spans="1:26">
      <c r="A908" s="81"/>
      <c r="B908" s="137"/>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2.75" customHeight="1" spans="1:26">
      <c r="A909" s="81"/>
      <c r="B909" s="137"/>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2.75" customHeight="1" spans="1:26">
      <c r="A910" s="81"/>
      <c r="B910" s="137"/>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2.75" customHeight="1" spans="1:26">
      <c r="A911" s="81"/>
      <c r="B911" s="137"/>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2.75" customHeight="1" spans="1:26">
      <c r="A912" s="81"/>
      <c r="B912" s="137"/>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2.75" customHeight="1" spans="1:26">
      <c r="A913" s="81"/>
      <c r="B913" s="137"/>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2.75" customHeight="1" spans="1:26">
      <c r="A914" s="81"/>
      <c r="B914" s="137"/>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2.75" customHeight="1" spans="1:26">
      <c r="A915" s="81"/>
      <c r="B915" s="137"/>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2.75" customHeight="1" spans="1:26">
      <c r="A916" s="81"/>
      <c r="B916" s="137"/>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2.75" customHeight="1" spans="1:26">
      <c r="A917" s="81"/>
      <c r="B917" s="137"/>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2.75" customHeight="1" spans="1:26">
      <c r="A918" s="81"/>
      <c r="B918" s="137"/>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2.75" customHeight="1" spans="1:26">
      <c r="A919" s="81"/>
      <c r="B919" s="137"/>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2.75" customHeight="1" spans="1:26">
      <c r="A920" s="81"/>
      <c r="B920" s="137"/>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2.75" customHeight="1" spans="1:26">
      <c r="A921" s="81"/>
      <c r="B921" s="137"/>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2.75" customHeight="1" spans="1:26">
      <c r="A922" s="81"/>
      <c r="B922" s="137"/>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2.75" customHeight="1" spans="1:26">
      <c r="A923" s="81"/>
      <c r="B923" s="137"/>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2.75" customHeight="1" spans="1:26">
      <c r="A924" s="81"/>
      <c r="B924" s="137"/>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2.75" customHeight="1" spans="1:26">
      <c r="A925" s="81"/>
      <c r="B925" s="137"/>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2.75" customHeight="1" spans="1:26">
      <c r="A926" s="81"/>
      <c r="B926" s="137"/>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2.75" customHeight="1" spans="1:26">
      <c r="A927" s="81"/>
      <c r="B927" s="137"/>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2.75" customHeight="1" spans="1:26">
      <c r="A928" s="81"/>
      <c r="B928" s="137"/>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2.75" customHeight="1" spans="1:26">
      <c r="A929" s="81"/>
      <c r="B929" s="137"/>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2.75" customHeight="1" spans="1:26">
      <c r="A930" s="81"/>
      <c r="B930" s="137"/>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2.75" customHeight="1" spans="1:26">
      <c r="A931" s="81"/>
      <c r="B931" s="137"/>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2.75" customHeight="1" spans="1:26">
      <c r="A932" s="81"/>
      <c r="B932" s="137"/>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2.75" customHeight="1" spans="1:26">
      <c r="A933" s="81"/>
      <c r="B933" s="137"/>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2.75" customHeight="1" spans="1:26">
      <c r="A934" s="81"/>
      <c r="B934" s="137"/>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2.75" customHeight="1" spans="1:26">
      <c r="A935" s="81"/>
      <c r="B935" s="137"/>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2.75" customHeight="1" spans="1:26">
      <c r="A936" s="81"/>
      <c r="B936" s="137"/>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2.75" customHeight="1" spans="1:26">
      <c r="A937" s="81"/>
      <c r="B937" s="137"/>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2.75" customHeight="1" spans="1:26">
      <c r="A938" s="81"/>
      <c r="B938" s="137"/>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2.75" customHeight="1" spans="1:26">
      <c r="A939" s="81"/>
      <c r="B939" s="137"/>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2.75" customHeight="1" spans="1:26">
      <c r="A940" s="81"/>
      <c r="B940" s="137"/>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2.75" customHeight="1" spans="1:26">
      <c r="A941" s="81"/>
      <c r="B941" s="137"/>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2.75" customHeight="1" spans="1:26">
      <c r="A942" s="81"/>
      <c r="B942" s="137"/>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2.75" customHeight="1" spans="1:26">
      <c r="A943" s="81"/>
      <c r="B943" s="137"/>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2.75" customHeight="1" spans="1:26">
      <c r="A944" s="81"/>
      <c r="B944" s="137"/>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2.75" customHeight="1" spans="1:26">
      <c r="A945" s="81"/>
      <c r="B945" s="137"/>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2.75" customHeight="1" spans="1:26">
      <c r="A946" s="81"/>
      <c r="B946" s="137"/>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2.75" customHeight="1" spans="1:26">
      <c r="A947" s="81"/>
      <c r="B947" s="137"/>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2.75" customHeight="1" spans="1:26">
      <c r="A948" s="81"/>
      <c r="B948" s="137"/>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2.75" customHeight="1" spans="1:26">
      <c r="A949" s="81"/>
      <c r="B949" s="137"/>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2.75" customHeight="1" spans="1:26">
      <c r="A950" s="81"/>
      <c r="B950" s="137"/>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2.75" customHeight="1" spans="1:26">
      <c r="A951" s="81"/>
      <c r="B951" s="137"/>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2.75" customHeight="1" spans="1:26">
      <c r="A952" s="81"/>
      <c r="B952" s="137"/>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2.75" customHeight="1" spans="1:26">
      <c r="A953" s="81"/>
      <c r="B953" s="137"/>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2.75" customHeight="1" spans="1:26">
      <c r="A954" s="81"/>
      <c r="B954" s="137"/>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2.75" customHeight="1" spans="1:26">
      <c r="A955" s="81"/>
      <c r="B955" s="137"/>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2.75" customHeight="1" spans="1:26">
      <c r="A956" s="81"/>
      <c r="B956" s="137"/>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2.75" customHeight="1" spans="1:26">
      <c r="A957" s="81"/>
      <c r="B957" s="137"/>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2.75" customHeight="1" spans="1:26">
      <c r="A958" s="81"/>
      <c r="B958" s="137"/>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2.75" customHeight="1" spans="1:26">
      <c r="A959" s="81"/>
      <c r="B959" s="137"/>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2.75" customHeight="1" spans="1:26">
      <c r="A960" s="81"/>
      <c r="B960" s="137"/>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2.75" customHeight="1" spans="1:26">
      <c r="A961" s="81"/>
      <c r="B961" s="137"/>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2.75" customHeight="1" spans="1:26">
      <c r="A962" s="81"/>
      <c r="B962" s="137"/>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2.75" customHeight="1" spans="1:26">
      <c r="A963" s="81"/>
      <c r="B963" s="137"/>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2.75" customHeight="1" spans="1:26">
      <c r="A964" s="81"/>
      <c r="B964" s="137"/>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2.75" customHeight="1" spans="1:26">
      <c r="A965" s="81"/>
      <c r="B965" s="137"/>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2.75" customHeight="1" spans="1:26">
      <c r="A966" s="81"/>
      <c r="B966" s="137"/>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2.75" customHeight="1" spans="1:26">
      <c r="A967" s="81"/>
      <c r="B967" s="137"/>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2.75" customHeight="1" spans="1:26">
      <c r="A968" s="81"/>
      <c r="B968" s="137"/>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2.75" customHeight="1" spans="1:26">
      <c r="A969" s="81"/>
      <c r="B969" s="137"/>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2.75" customHeight="1" spans="1:26">
      <c r="A970" s="81"/>
      <c r="B970" s="137"/>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2.75" customHeight="1" spans="1:26">
      <c r="A971" s="81"/>
      <c r="B971" s="137"/>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2.75" customHeight="1" spans="1:26">
      <c r="A972" s="81"/>
      <c r="B972" s="137"/>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2.75" customHeight="1" spans="1:26">
      <c r="A973" s="81"/>
      <c r="B973" s="137"/>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2.75" customHeight="1" spans="1:26">
      <c r="A974" s="81"/>
      <c r="B974" s="137"/>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2.75" customHeight="1" spans="1:26">
      <c r="A975" s="81"/>
      <c r="B975" s="137"/>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2.75" customHeight="1" spans="1:26">
      <c r="A976" s="81"/>
      <c r="B976" s="137"/>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2.75" customHeight="1" spans="1:26">
      <c r="A977" s="81"/>
      <c r="B977" s="137"/>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2.75" customHeight="1" spans="1:26">
      <c r="A978" s="81"/>
      <c r="B978" s="137"/>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2.75" customHeight="1" spans="1:26">
      <c r="A979" s="81"/>
      <c r="B979" s="137"/>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2.75" customHeight="1" spans="1:26">
      <c r="A980" s="81"/>
      <c r="B980" s="137"/>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2.75" customHeight="1" spans="1:26">
      <c r="A981" s="81"/>
      <c r="B981" s="137"/>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2.75" customHeight="1" spans="1:26">
      <c r="A982" s="81"/>
      <c r="B982" s="137"/>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2.75" customHeight="1" spans="1:26">
      <c r="A983" s="81"/>
      <c r="B983" s="137"/>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2.75" customHeight="1" spans="1:26">
      <c r="A984" s="81"/>
      <c r="B984" s="137"/>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2.75" customHeight="1" spans="1:26">
      <c r="A985" s="81"/>
      <c r="B985" s="137"/>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2.75" customHeight="1" spans="1:26">
      <c r="A986" s="81"/>
      <c r="B986" s="137"/>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2.75" customHeight="1" spans="1:26">
      <c r="A987" s="81"/>
      <c r="B987" s="137"/>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2.75" customHeight="1" spans="1:26">
      <c r="A988" s="81"/>
      <c r="B988" s="137"/>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2.75" customHeight="1" spans="1:26">
      <c r="A989" s="81"/>
      <c r="B989" s="137"/>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2.75" customHeight="1" spans="1:26">
      <c r="A990" s="81"/>
      <c r="B990" s="137"/>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2.75" customHeight="1" spans="1:26">
      <c r="A991" s="81"/>
      <c r="B991" s="137"/>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2.75" customHeight="1" spans="1:26">
      <c r="A992" s="81"/>
      <c r="B992" s="137"/>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2.75" customHeight="1" spans="1:26">
      <c r="A993" s="81"/>
      <c r="B993" s="137"/>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2.75" customHeight="1" spans="1:26">
      <c r="A994" s="81"/>
      <c r="B994" s="137"/>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2.75" customHeight="1" spans="1:26">
      <c r="A995" s="81"/>
      <c r="B995" s="137"/>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2.75" customHeight="1" spans="1:26">
      <c r="A996" s="81"/>
      <c r="B996" s="137"/>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2.75" customHeight="1" spans="1:26">
      <c r="A997" s="81"/>
      <c r="B997" s="137"/>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2.75" customHeight="1" spans="1:26">
      <c r="A998" s="81"/>
      <c r="B998" s="137"/>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2.75" customHeight="1" spans="1:26">
      <c r="A999" s="81"/>
      <c r="B999" s="137"/>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2.75" customHeight="1" spans="1:26">
      <c r="A1000" s="81"/>
      <c r="B1000" s="137"/>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mergeCells count="5">
    <mergeCell ref="C2:G2"/>
    <mergeCell ref="C4:E4"/>
    <mergeCell ref="C5:E5"/>
    <mergeCell ref="B6:B7"/>
    <mergeCell ref="C6:E7"/>
  </mergeCells>
  <pageMargins left="0.7" right="0.7" top="0.75" bottom="0.75" header="0" footer="0"/>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8"/>
  <sheetViews>
    <sheetView workbookViewId="0">
      <selection activeCell="G3" sqref="G3:H3"/>
    </sheetView>
  </sheetViews>
  <sheetFormatPr defaultColWidth="14.4259259259259" defaultRowHeight="15" customHeight="1"/>
  <cols>
    <col min="1" max="1" width="9.13888888888889" customWidth="1"/>
    <col min="2" max="2" width="15.4259259259259" customWidth="1"/>
    <col min="3" max="3" width="40.287037037037" customWidth="1"/>
    <col min="4" max="4" width="19.1388888888889" customWidth="1"/>
    <col min="5" max="5" width="17.8611111111111" customWidth="1"/>
    <col min="6" max="6" width="14" customWidth="1"/>
    <col min="7" max="7" width="12.8611111111111" customWidth="1"/>
    <col min="8" max="8" width="37.8611111111111" customWidth="1"/>
    <col min="9" max="26" width="9.13888888888889" customWidth="1"/>
  </cols>
  <sheetData>
    <row r="1" ht="12.75" customHeight="1" spans="1:26">
      <c r="A1" s="103"/>
      <c r="B1" s="104" t="s">
        <v>16</v>
      </c>
      <c r="C1" s="105"/>
      <c r="D1" s="105"/>
      <c r="E1" s="105"/>
      <c r="F1" s="105"/>
      <c r="G1" s="105"/>
      <c r="H1" s="105"/>
      <c r="I1" s="103"/>
      <c r="J1" s="103"/>
      <c r="K1" s="103"/>
      <c r="L1" s="103"/>
      <c r="M1" s="103"/>
      <c r="N1" s="103"/>
      <c r="O1" s="103"/>
      <c r="P1" s="103"/>
      <c r="Q1" s="103"/>
      <c r="R1" s="103"/>
      <c r="S1" s="103"/>
      <c r="T1" s="103"/>
      <c r="U1" s="103"/>
      <c r="V1" s="103"/>
      <c r="W1" s="103"/>
      <c r="X1" s="103"/>
      <c r="Y1" s="103"/>
      <c r="Z1" s="103"/>
    </row>
    <row r="2" ht="12.75" customHeight="1" spans="1:26">
      <c r="A2" s="106"/>
      <c r="B2" s="106"/>
      <c r="C2" s="103"/>
      <c r="D2" s="103"/>
      <c r="E2" s="103"/>
      <c r="F2" s="103"/>
      <c r="G2" s="103"/>
      <c r="H2" s="107"/>
      <c r="I2" s="103"/>
      <c r="J2" s="103"/>
      <c r="K2" s="103"/>
      <c r="L2" s="103"/>
      <c r="M2" s="103"/>
      <c r="N2" s="103"/>
      <c r="O2" s="103"/>
      <c r="P2" s="103"/>
      <c r="Q2" s="103"/>
      <c r="R2" s="103"/>
      <c r="S2" s="103"/>
      <c r="T2" s="103"/>
      <c r="U2" s="103"/>
      <c r="V2" s="103"/>
      <c r="W2" s="103"/>
      <c r="X2" s="103"/>
      <c r="Y2" s="103"/>
      <c r="Z2" s="103"/>
    </row>
    <row r="3" ht="12.75" customHeight="1" spans="1:26">
      <c r="A3" s="103"/>
      <c r="B3" s="108" t="s">
        <v>1</v>
      </c>
      <c r="C3" s="109" t="s">
        <v>2</v>
      </c>
      <c r="D3" s="46"/>
      <c r="E3" s="110" t="s">
        <v>3</v>
      </c>
      <c r="F3" s="46"/>
      <c r="G3" s="111" t="s">
        <v>4</v>
      </c>
      <c r="H3" s="46"/>
      <c r="I3" s="103"/>
      <c r="J3" s="103"/>
      <c r="K3" s="103"/>
      <c r="L3" s="103"/>
      <c r="M3" s="103"/>
      <c r="N3" s="103"/>
      <c r="O3" s="103"/>
      <c r="P3" s="103"/>
      <c r="Q3" s="103"/>
      <c r="R3" s="103"/>
      <c r="S3" s="103"/>
      <c r="T3" s="103"/>
      <c r="U3" s="103"/>
      <c r="V3" s="103"/>
      <c r="W3" s="103"/>
      <c r="X3" s="103"/>
      <c r="Y3" s="103"/>
      <c r="Z3" s="103"/>
    </row>
    <row r="4" ht="12.75" customHeight="1" spans="1:26">
      <c r="A4" s="103"/>
      <c r="B4" s="108" t="s">
        <v>5</v>
      </c>
      <c r="C4" s="112"/>
      <c r="D4" s="46"/>
      <c r="E4" s="110" t="s">
        <v>6</v>
      </c>
      <c r="F4" s="46"/>
      <c r="G4" s="109"/>
      <c r="H4" s="46"/>
      <c r="I4" s="103"/>
      <c r="J4" s="103"/>
      <c r="K4" s="103"/>
      <c r="L4" s="103"/>
      <c r="M4" s="103"/>
      <c r="N4" s="103"/>
      <c r="O4" s="103"/>
      <c r="P4" s="103"/>
      <c r="Q4" s="103"/>
      <c r="R4" s="103"/>
      <c r="S4" s="103"/>
      <c r="T4" s="103"/>
      <c r="U4" s="103"/>
      <c r="V4" s="103"/>
      <c r="W4" s="103"/>
      <c r="X4" s="103"/>
      <c r="Y4" s="103"/>
      <c r="Z4" s="103"/>
    </row>
    <row r="5" ht="12.75" customHeight="1" spans="1:26">
      <c r="A5" s="103"/>
      <c r="B5" s="113" t="s">
        <v>7</v>
      </c>
      <c r="C5" s="109"/>
      <c r="D5" s="46"/>
      <c r="E5" s="110" t="s">
        <v>8</v>
      </c>
      <c r="F5" s="46"/>
      <c r="G5" s="114"/>
      <c r="H5" s="46"/>
      <c r="I5" s="103"/>
      <c r="J5" s="103"/>
      <c r="K5" s="103"/>
      <c r="L5" s="103"/>
      <c r="M5" s="103"/>
      <c r="N5" s="103"/>
      <c r="O5" s="103"/>
      <c r="P5" s="103"/>
      <c r="Q5" s="103"/>
      <c r="R5" s="103"/>
      <c r="S5" s="103"/>
      <c r="T5" s="103"/>
      <c r="U5" s="103"/>
      <c r="V5" s="103"/>
      <c r="W5" s="103"/>
      <c r="X5" s="103"/>
      <c r="Y5" s="103"/>
      <c r="Z5" s="103"/>
    </row>
    <row r="6" ht="12.75" customHeight="1" spans="1:26">
      <c r="A6" s="106"/>
      <c r="B6" s="113" t="s">
        <v>17</v>
      </c>
      <c r="C6" s="115"/>
      <c r="D6" s="40"/>
      <c r="E6" s="40"/>
      <c r="F6" s="40"/>
      <c r="G6" s="40"/>
      <c r="H6" s="46"/>
      <c r="I6" s="103"/>
      <c r="J6" s="103"/>
      <c r="K6" s="103"/>
      <c r="L6" s="103"/>
      <c r="M6" s="103"/>
      <c r="N6" s="103"/>
      <c r="O6" s="103"/>
      <c r="P6" s="103"/>
      <c r="Q6" s="103"/>
      <c r="R6" s="103"/>
      <c r="S6" s="103"/>
      <c r="T6" s="103"/>
      <c r="U6" s="103"/>
      <c r="V6" s="103"/>
      <c r="W6" s="103"/>
      <c r="X6" s="103"/>
      <c r="Y6" s="103"/>
      <c r="Z6" s="103"/>
    </row>
    <row r="7" ht="12.75" customHeight="1" spans="1:26">
      <c r="A7" s="106"/>
      <c r="B7" s="116"/>
      <c r="C7" s="117"/>
      <c r="D7" s="103"/>
      <c r="E7" s="103"/>
      <c r="F7" s="103"/>
      <c r="G7" s="103"/>
      <c r="H7" s="107"/>
      <c r="I7" s="103"/>
      <c r="J7" s="103"/>
      <c r="K7" s="103"/>
      <c r="L7" s="103"/>
      <c r="M7" s="103"/>
      <c r="N7" s="103"/>
      <c r="O7" s="103"/>
      <c r="P7" s="103"/>
      <c r="Q7" s="103"/>
      <c r="R7" s="103"/>
      <c r="S7" s="103"/>
      <c r="T7" s="103"/>
      <c r="U7" s="103"/>
      <c r="V7" s="103"/>
      <c r="W7" s="103"/>
      <c r="X7" s="103"/>
      <c r="Y7" s="103"/>
      <c r="Z7" s="103"/>
    </row>
    <row r="8" ht="12.75" customHeight="1" spans="1:26">
      <c r="A8" s="103"/>
      <c r="B8" s="116"/>
      <c r="C8" s="117"/>
      <c r="D8" s="103"/>
      <c r="E8" s="103"/>
      <c r="F8" s="103"/>
      <c r="G8" s="103"/>
      <c r="H8" s="107"/>
      <c r="I8" s="103"/>
      <c r="J8" s="103"/>
      <c r="K8" s="103"/>
      <c r="L8" s="103"/>
      <c r="M8" s="103"/>
      <c r="N8" s="103"/>
      <c r="O8" s="103"/>
      <c r="P8" s="103"/>
      <c r="Q8" s="103"/>
      <c r="R8" s="103"/>
      <c r="S8" s="103"/>
      <c r="T8" s="103"/>
      <c r="U8" s="103"/>
      <c r="V8" s="103"/>
      <c r="W8" s="103"/>
      <c r="X8" s="103"/>
      <c r="Y8" s="103"/>
      <c r="Z8" s="103"/>
    </row>
    <row r="9" ht="12.75" customHeight="1" spans="1:26">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row>
    <row r="10" ht="12.75" customHeight="1" spans="1:26">
      <c r="A10" s="118"/>
      <c r="B10" s="119" t="s">
        <v>18</v>
      </c>
      <c r="C10" s="120" t="s">
        <v>19</v>
      </c>
      <c r="D10" s="121" t="s">
        <v>20</v>
      </c>
      <c r="E10" s="120" t="s">
        <v>21</v>
      </c>
      <c r="F10" s="120" t="s">
        <v>22</v>
      </c>
      <c r="G10" s="122" t="s">
        <v>23</v>
      </c>
      <c r="H10" s="123" t="s">
        <v>24</v>
      </c>
      <c r="I10" s="103"/>
      <c r="J10" s="103"/>
      <c r="K10" s="103"/>
      <c r="L10" s="103"/>
      <c r="M10" s="103"/>
      <c r="N10" s="103"/>
      <c r="O10" s="103"/>
      <c r="P10" s="103"/>
      <c r="Q10" s="103"/>
      <c r="R10" s="103"/>
      <c r="S10" s="103"/>
      <c r="T10" s="103"/>
      <c r="U10" s="103"/>
      <c r="V10" s="103"/>
      <c r="W10" s="103"/>
      <c r="X10" s="103"/>
      <c r="Y10" s="103"/>
      <c r="Z10" s="103"/>
    </row>
    <row r="11" ht="12.75" customHeight="1" spans="1:26">
      <c r="A11" s="118"/>
      <c r="B11" s="124">
        <v>1</v>
      </c>
      <c r="C11" s="125" t="s">
        <v>25</v>
      </c>
      <c r="D11" s="126">
        <f>'Đăng ký ứng viên'!A5</f>
        <v>8</v>
      </c>
      <c r="E11" s="126">
        <f>'Đăng ký ứng viên'!B5</f>
        <v>10</v>
      </c>
      <c r="F11" s="126">
        <f>'Đăng ký ứng viên'!C5</f>
        <v>0</v>
      </c>
      <c r="G11" s="126">
        <f>'Đăng ký ứng viên'!D5</f>
        <v>0</v>
      </c>
      <c r="H11" s="126">
        <f t="shared" ref="H11:H20" si="0">SUM(D11:G11)</f>
        <v>18</v>
      </c>
      <c r="I11" s="103"/>
      <c r="J11" s="103"/>
      <c r="K11" s="103"/>
      <c r="L11" s="103"/>
      <c r="M11" s="103"/>
      <c r="N11" s="103"/>
      <c r="O11" s="103"/>
      <c r="P11" s="103"/>
      <c r="Q11" s="103"/>
      <c r="R11" s="103"/>
      <c r="S11" s="103"/>
      <c r="T11" s="103"/>
      <c r="U11" s="103"/>
      <c r="V11" s="103"/>
      <c r="W11" s="103"/>
      <c r="X11" s="103"/>
      <c r="Y11" s="103"/>
      <c r="Z11" s="103"/>
    </row>
    <row r="12" ht="12.75" customHeight="1" spans="1:26">
      <c r="A12" s="118"/>
      <c r="B12" s="124">
        <v>2</v>
      </c>
      <c r="C12" s="125" t="s">
        <v>26</v>
      </c>
      <c r="D12" s="126">
        <f>'Đăng ký nhà tuyển dụng'!A5</f>
        <v>6</v>
      </c>
      <c r="E12" s="126">
        <f>'Đăng ký nhà tuyển dụng'!B5</f>
        <v>9</v>
      </c>
      <c r="F12" s="126">
        <f>'Đăng ký nhà tuyển dụng'!C5</f>
        <v>0</v>
      </c>
      <c r="G12" s="126">
        <f>'Đăng ký nhà tuyển dụng'!D5</f>
        <v>1</v>
      </c>
      <c r="H12" s="126">
        <f t="shared" si="0"/>
        <v>16</v>
      </c>
      <c r="I12" s="103"/>
      <c r="J12" s="103"/>
      <c r="K12" s="103"/>
      <c r="L12" s="103"/>
      <c r="M12" s="103"/>
      <c r="N12" s="103"/>
      <c r="O12" s="103"/>
      <c r="P12" s="103"/>
      <c r="Q12" s="103"/>
      <c r="R12" s="103"/>
      <c r="S12" s="103"/>
      <c r="T12" s="103"/>
      <c r="U12" s="103"/>
      <c r="V12" s="103"/>
      <c r="W12" s="103"/>
      <c r="X12" s="103"/>
      <c r="Y12" s="103"/>
      <c r="Z12" s="103"/>
    </row>
    <row r="13" ht="12.75" customHeight="1" spans="1:26">
      <c r="A13" s="118"/>
      <c r="B13" s="124">
        <v>3</v>
      </c>
      <c r="C13" s="125" t="s">
        <v>27</v>
      </c>
      <c r="D13" s="126">
        <f>'Đăng nhập hệ thống'!A5</f>
        <v>14</v>
      </c>
      <c r="E13" s="126">
        <f>'Đăng nhập hệ thống'!B5</f>
        <v>13</v>
      </c>
      <c r="F13" s="126">
        <f>'Đăng nhập hệ thống'!C5</f>
        <v>7</v>
      </c>
      <c r="G13" s="126">
        <f>'Đăng nhập hệ thống'!D5</f>
        <v>6</v>
      </c>
      <c r="H13" s="126">
        <f t="shared" si="0"/>
        <v>40</v>
      </c>
      <c r="I13" s="103"/>
      <c r="J13" s="103"/>
      <c r="K13" s="103"/>
      <c r="L13" s="103"/>
      <c r="M13" s="103"/>
      <c r="N13" s="103"/>
      <c r="O13" s="103"/>
      <c r="P13" s="103"/>
      <c r="Q13" s="103"/>
      <c r="R13" s="103"/>
      <c r="S13" s="103"/>
      <c r="T13" s="103"/>
      <c r="U13" s="103"/>
      <c r="V13" s="103"/>
      <c r="W13" s="103"/>
      <c r="X13" s="103"/>
      <c r="Y13" s="103"/>
      <c r="Z13" s="103"/>
    </row>
    <row r="14" ht="12.75" customHeight="1" spans="1:26">
      <c r="A14" s="118"/>
      <c r="B14" s="124">
        <v>4</v>
      </c>
      <c r="C14" s="125" t="s">
        <v>28</v>
      </c>
      <c r="D14" s="126">
        <f>'Đăng xuất tài khoản'!A5</f>
        <v>2</v>
      </c>
      <c r="E14" s="126">
        <f>'Đăng xuất tài khoản'!B5</f>
        <v>0</v>
      </c>
      <c r="F14" s="126">
        <f>'Đăng xuất tài khoản'!C5</f>
        <v>0</v>
      </c>
      <c r="G14" s="126">
        <f>'Đăng xuất tài khoản'!D5</f>
        <v>1</v>
      </c>
      <c r="H14" s="126">
        <f t="shared" si="0"/>
        <v>3</v>
      </c>
      <c r="I14" s="103"/>
      <c r="J14" s="103"/>
      <c r="K14" s="103"/>
      <c r="L14" s="103"/>
      <c r="M14" s="103"/>
      <c r="N14" s="103"/>
      <c r="O14" s="103"/>
      <c r="P14" s="103"/>
      <c r="Q14" s="103"/>
      <c r="R14" s="103"/>
      <c r="S14" s="103"/>
      <c r="T14" s="103"/>
      <c r="U14" s="103"/>
      <c r="V14" s="103"/>
      <c r="W14" s="103"/>
      <c r="X14" s="103"/>
      <c r="Y14" s="103"/>
      <c r="Z14" s="103"/>
    </row>
    <row r="15" ht="12.75" customHeight="1" spans="1:26">
      <c r="A15" s="118"/>
      <c r="B15" s="124">
        <v>5</v>
      </c>
      <c r="C15" s="125" t="s">
        <v>29</v>
      </c>
      <c r="D15" s="126">
        <f>'Đăng bài tìm ứng viên'!A5</f>
        <v>6</v>
      </c>
      <c r="E15" s="126">
        <f>'Đăng bài tìm ứng viên'!B5</f>
        <v>1</v>
      </c>
      <c r="F15" s="126">
        <f>'Đăng bài tìm ứng viên'!C5</f>
        <v>0</v>
      </c>
      <c r="G15" s="126">
        <f>'Đăng bài tìm ứng viên'!D5</f>
        <v>0</v>
      </c>
      <c r="H15" s="126">
        <f t="shared" si="0"/>
        <v>7</v>
      </c>
      <c r="I15" s="103"/>
      <c r="J15" s="103"/>
      <c r="K15" s="103"/>
      <c r="L15" s="103"/>
      <c r="M15" s="103"/>
      <c r="N15" s="103"/>
      <c r="O15" s="103"/>
      <c r="P15" s="103"/>
      <c r="Q15" s="103"/>
      <c r="R15" s="103"/>
      <c r="S15" s="103"/>
      <c r="T15" s="103"/>
      <c r="U15" s="103"/>
      <c r="V15" s="103"/>
      <c r="W15" s="103"/>
      <c r="X15" s="103"/>
      <c r="Y15" s="103"/>
      <c r="Z15" s="103"/>
    </row>
    <row r="16" ht="12.75" customHeight="1" spans="1:26">
      <c r="A16" s="118"/>
      <c r="B16" s="124">
        <v>6</v>
      </c>
      <c r="C16" s="125" t="s">
        <v>30</v>
      </c>
      <c r="D16" s="126">
        <f>'Sửa Xóa bài Đăng việc làm'!A5</f>
        <v>1</v>
      </c>
      <c r="E16" s="126">
        <f>'Sửa Xóa bài Đăng việc làm'!B5</f>
        <v>3</v>
      </c>
      <c r="F16" s="126">
        <f>'Sửa Xóa bài Đăng việc làm'!C5</f>
        <v>0</v>
      </c>
      <c r="G16" s="126">
        <f>'Sửa Xóa bài Đăng việc làm'!D5</f>
        <v>3</v>
      </c>
      <c r="H16" s="126">
        <f t="shared" si="0"/>
        <v>7</v>
      </c>
      <c r="I16" s="103"/>
      <c r="J16" s="103"/>
      <c r="K16" s="103"/>
      <c r="L16" s="103"/>
      <c r="M16" s="103"/>
      <c r="N16" s="103"/>
      <c r="O16" s="103"/>
      <c r="P16" s="103"/>
      <c r="Q16" s="103"/>
      <c r="R16" s="103"/>
      <c r="S16" s="103"/>
      <c r="T16" s="103"/>
      <c r="U16" s="103"/>
      <c r="V16" s="103"/>
      <c r="W16" s="103"/>
      <c r="X16" s="103"/>
      <c r="Y16" s="103"/>
      <c r="Z16" s="103"/>
    </row>
    <row r="17" ht="12.75" customHeight="1" spans="1:26">
      <c r="A17" s="118"/>
      <c r="B17" s="124">
        <v>7</v>
      </c>
      <c r="C17" s="125" t="s">
        <v>31</v>
      </c>
      <c r="D17" s="126">
        <f>'Xem ứng viên ứng tuyển'!A5</f>
        <v>1</v>
      </c>
      <c r="E17" s="126">
        <f>'Xem ứng viên ứng tuyển'!B5</f>
        <v>1</v>
      </c>
      <c r="F17" s="126">
        <f>'Xem ứng viên ứng tuyển'!C5</f>
        <v>0</v>
      </c>
      <c r="G17" s="126">
        <f>'Xem ứng viên ứng tuyển'!D5</f>
        <v>0</v>
      </c>
      <c r="H17" s="126">
        <f t="shared" si="0"/>
        <v>2</v>
      </c>
      <c r="I17" s="103"/>
      <c r="J17" s="103"/>
      <c r="K17" s="103"/>
      <c r="L17" s="103"/>
      <c r="M17" s="103"/>
      <c r="N17" s="103"/>
      <c r="O17" s="103"/>
      <c r="P17" s="103"/>
      <c r="Q17" s="103"/>
      <c r="R17" s="103"/>
      <c r="S17" s="103"/>
      <c r="T17" s="103"/>
      <c r="U17" s="103"/>
      <c r="V17" s="103"/>
      <c r="W17" s="103"/>
      <c r="X17" s="103"/>
      <c r="Y17" s="103"/>
      <c r="Z17" s="103"/>
    </row>
    <row r="18" ht="12.75" customHeight="1" spans="1:26">
      <c r="A18" s="118"/>
      <c r="B18" s="124">
        <v>8</v>
      </c>
      <c r="C18" s="125" t="s">
        <v>32</v>
      </c>
      <c r="D18" s="126">
        <f>'Ứng tuyển công việc'!A5</f>
        <v>2</v>
      </c>
      <c r="E18" s="126">
        <f>'Ứng tuyển công việc'!B5</f>
        <v>3</v>
      </c>
      <c r="F18" s="126">
        <f>'Ứng tuyển công việc'!C5</f>
        <v>0</v>
      </c>
      <c r="G18" s="126">
        <f>'Ứng tuyển công việc'!D5</f>
        <v>1</v>
      </c>
      <c r="H18" s="126">
        <f t="shared" si="0"/>
        <v>6</v>
      </c>
      <c r="I18" s="103"/>
      <c r="J18" s="103"/>
      <c r="K18" s="103"/>
      <c r="L18" s="103"/>
      <c r="M18" s="103"/>
      <c r="N18" s="103"/>
      <c r="O18" s="103"/>
      <c r="P18" s="103"/>
      <c r="Q18" s="103"/>
      <c r="R18" s="103"/>
      <c r="S18" s="103"/>
      <c r="T18" s="103"/>
      <c r="U18" s="103"/>
      <c r="V18" s="103"/>
      <c r="W18" s="103"/>
      <c r="X18" s="103"/>
      <c r="Y18" s="103"/>
      <c r="Z18" s="103"/>
    </row>
    <row r="19" ht="12.75" customHeight="1" spans="1:26">
      <c r="A19" s="118"/>
      <c r="B19" s="124">
        <v>9</v>
      </c>
      <c r="C19" s="125" t="s">
        <v>33</v>
      </c>
      <c r="D19" s="126">
        <f>'Chỉnh sửa hồ sơ ứng viên'!A5</f>
        <v>4</v>
      </c>
      <c r="E19" s="126">
        <f>'Chỉnh sửa hồ sơ ứng viên'!B5</f>
        <v>2</v>
      </c>
      <c r="F19" s="126">
        <f>'Chỉnh sửa hồ sơ ứng viên'!C5</f>
        <v>0</v>
      </c>
      <c r="G19" s="126">
        <f>'Chỉnh sửa hồ sơ ứng viên'!D5</f>
        <v>0</v>
      </c>
      <c r="H19" s="126">
        <f t="shared" si="0"/>
        <v>6</v>
      </c>
      <c r="I19" s="103"/>
      <c r="J19" s="103"/>
      <c r="K19" s="103"/>
      <c r="L19" s="103"/>
      <c r="M19" s="103"/>
      <c r="N19" s="103"/>
      <c r="O19" s="103"/>
      <c r="P19" s="103"/>
      <c r="Q19" s="103"/>
      <c r="R19" s="103"/>
      <c r="S19" s="103"/>
      <c r="T19" s="103"/>
      <c r="U19" s="103"/>
      <c r="V19" s="103"/>
      <c r="W19" s="103"/>
      <c r="X19" s="103"/>
      <c r="Y19" s="103"/>
      <c r="Z19" s="103"/>
    </row>
    <row r="20" ht="12.75" customHeight="1" spans="1:26">
      <c r="A20" s="118"/>
      <c r="B20" s="124">
        <v>10</v>
      </c>
      <c r="C20" s="125" t="s">
        <v>34</v>
      </c>
      <c r="D20" s="126">
        <f>'Ứng viên đăng bài'!A5</f>
        <v>4</v>
      </c>
      <c r="E20" s="126">
        <f>'Ứng viên đăng bài'!B5</f>
        <v>1</v>
      </c>
      <c r="F20" s="126">
        <f>'Ứng viên đăng bài'!C5</f>
        <v>0</v>
      </c>
      <c r="G20" s="126">
        <f>'Ứng viên đăng bài'!D5</f>
        <v>0</v>
      </c>
      <c r="H20" s="126">
        <f t="shared" si="0"/>
        <v>5</v>
      </c>
      <c r="I20" s="103"/>
      <c r="J20" s="103"/>
      <c r="K20" s="103"/>
      <c r="L20" s="103"/>
      <c r="M20" s="103"/>
      <c r="N20" s="103"/>
      <c r="O20" s="103"/>
      <c r="P20" s="103"/>
      <c r="Q20" s="103"/>
      <c r="R20" s="103"/>
      <c r="S20" s="103"/>
      <c r="T20" s="103"/>
      <c r="U20" s="103"/>
      <c r="V20" s="103"/>
      <c r="W20" s="103"/>
      <c r="X20" s="103"/>
      <c r="Y20" s="103"/>
      <c r="Z20" s="103"/>
    </row>
    <row r="21" ht="12.75" customHeight="1" spans="1:26">
      <c r="A21" s="118"/>
      <c r="B21" s="124"/>
      <c r="C21" s="125"/>
      <c r="D21" s="126"/>
      <c r="E21" s="126"/>
      <c r="F21" s="126"/>
      <c r="G21" s="126"/>
      <c r="H21" s="126"/>
      <c r="I21" s="103"/>
      <c r="J21" s="103"/>
      <c r="K21" s="103"/>
      <c r="L21" s="103"/>
      <c r="M21" s="103"/>
      <c r="N21" s="103"/>
      <c r="O21" s="103"/>
      <c r="P21" s="103"/>
      <c r="Q21" s="103"/>
      <c r="R21" s="103"/>
      <c r="S21" s="103"/>
      <c r="T21" s="103"/>
      <c r="U21" s="103"/>
      <c r="V21" s="103"/>
      <c r="W21" s="103"/>
      <c r="X21" s="103"/>
      <c r="Y21" s="103"/>
      <c r="Z21" s="103"/>
    </row>
    <row r="22" ht="12.75" customHeight="1" spans="1:26">
      <c r="A22" s="118"/>
      <c r="B22" s="124"/>
      <c r="C22" s="125"/>
      <c r="D22" s="126"/>
      <c r="E22" s="126"/>
      <c r="F22" s="126"/>
      <c r="G22" s="126"/>
      <c r="H22" s="126"/>
      <c r="I22" s="103"/>
      <c r="J22" s="103"/>
      <c r="K22" s="103"/>
      <c r="L22" s="103"/>
      <c r="M22" s="103"/>
      <c r="N22" s="103"/>
      <c r="O22" s="103"/>
      <c r="P22" s="103"/>
      <c r="Q22" s="103"/>
      <c r="R22" s="103"/>
      <c r="S22" s="103"/>
      <c r="T22" s="103"/>
      <c r="U22" s="103"/>
      <c r="V22" s="103"/>
      <c r="W22" s="103"/>
      <c r="X22" s="103"/>
      <c r="Y22" s="103"/>
      <c r="Z22" s="103"/>
    </row>
    <row r="23" ht="12.75" customHeight="1" spans="1:26">
      <c r="A23" s="118"/>
      <c r="B23" s="124"/>
      <c r="C23" s="125"/>
      <c r="D23" s="126"/>
      <c r="E23" s="126"/>
      <c r="F23" s="126"/>
      <c r="G23" s="126"/>
      <c r="H23" s="126"/>
      <c r="I23" s="103"/>
      <c r="J23" s="103"/>
      <c r="K23" s="103"/>
      <c r="L23" s="103"/>
      <c r="M23" s="103"/>
      <c r="N23" s="103"/>
      <c r="O23" s="103"/>
      <c r="P23" s="103"/>
      <c r="Q23" s="103"/>
      <c r="R23" s="103"/>
      <c r="S23" s="103"/>
      <c r="T23" s="103"/>
      <c r="U23" s="103"/>
      <c r="V23" s="103"/>
      <c r="W23" s="103"/>
      <c r="X23" s="103"/>
      <c r="Y23" s="103"/>
      <c r="Z23" s="103"/>
    </row>
    <row r="24" ht="12.75" customHeight="1" spans="1:26">
      <c r="A24" s="118"/>
      <c r="B24" s="124"/>
      <c r="C24" s="125"/>
      <c r="D24" s="126"/>
      <c r="E24" s="126"/>
      <c r="F24" s="126"/>
      <c r="G24" s="126"/>
      <c r="H24" s="126"/>
      <c r="I24" s="103"/>
      <c r="J24" s="103"/>
      <c r="K24" s="103"/>
      <c r="L24" s="103"/>
      <c r="M24" s="103"/>
      <c r="N24" s="103"/>
      <c r="O24" s="103"/>
      <c r="P24" s="103"/>
      <c r="Q24" s="103"/>
      <c r="R24" s="103"/>
      <c r="S24" s="103"/>
      <c r="T24" s="103"/>
      <c r="U24" s="103"/>
      <c r="V24" s="103"/>
      <c r="W24" s="103"/>
      <c r="X24" s="103"/>
      <c r="Y24" s="103"/>
      <c r="Z24" s="103"/>
    </row>
    <row r="25" ht="12.75" customHeight="1" spans="1:26">
      <c r="A25" s="118"/>
      <c r="B25" s="124"/>
      <c r="C25" s="125"/>
      <c r="D25" s="126"/>
      <c r="E25" s="126"/>
      <c r="F25" s="126"/>
      <c r="G25" s="126"/>
      <c r="H25" s="126"/>
      <c r="I25" s="103"/>
      <c r="J25" s="103"/>
      <c r="K25" s="103"/>
      <c r="L25" s="103"/>
      <c r="M25" s="103"/>
      <c r="N25" s="103"/>
      <c r="O25" s="103"/>
      <c r="P25" s="103"/>
      <c r="Q25" s="103"/>
      <c r="R25" s="103"/>
      <c r="S25" s="103"/>
      <c r="T25" s="103"/>
      <c r="U25" s="103"/>
      <c r="V25" s="103"/>
      <c r="W25" s="103"/>
      <c r="X25" s="103"/>
      <c r="Y25" s="103"/>
      <c r="Z25" s="103"/>
    </row>
    <row r="26" ht="12.75" customHeight="1" spans="1:26">
      <c r="A26" s="118"/>
      <c r="B26" s="127"/>
      <c r="C26" s="128" t="s">
        <v>35</v>
      </c>
      <c r="D26" s="129">
        <f t="shared" ref="D26:H26" si="1">SUM(D11:D17)</f>
        <v>38</v>
      </c>
      <c r="E26" s="129">
        <f t="shared" si="1"/>
        <v>37</v>
      </c>
      <c r="F26" s="129">
        <f t="shared" si="1"/>
        <v>7</v>
      </c>
      <c r="G26" s="129">
        <f t="shared" si="1"/>
        <v>11</v>
      </c>
      <c r="H26" s="130">
        <f t="shared" si="1"/>
        <v>93</v>
      </c>
      <c r="I26" s="103"/>
      <c r="J26" s="103"/>
      <c r="K26" s="103"/>
      <c r="L26" s="103"/>
      <c r="M26" s="103"/>
      <c r="N26" s="103"/>
      <c r="O26" s="103"/>
      <c r="P26" s="103"/>
      <c r="Q26" s="103"/>
      <c r="R26" s="103"/>
      <c r="S26" s="103"/>
      <c r="T26" s="103"/>
      <c r="U26" s="103"/>
      <c r="V26" s="103"/>
      <c r="W26" s="103"/>
      <c r="X26" s="103"/>
      <c r="Y26" s="103"/>
      <c r="Z26" s="103"/>
    </row>
    <row r="27" ht="12.75" customHeight="1" spans="1:26">
      <c r="A27" s="103"/>
      <c r="B27" s="131"/>
      <c r="C27" s="103"/>
      <c r="D27" s="132"/>
      <c r="E27" s="133"/>
      <c r="F27" s="133"/>
      <c r="G27" s="133"/>
      <c r="H27" s="133"/>
      <c r="I27" s="103"/>
      <c r="J27" s="103"/>
      <c r="K27" s="103"/>
      <c r="L27" s="103"/>
      <c r="M27" s="103"/>
      <c r="N27" s="103"/>
      <c r="O27" s="103"/>
      <c r="P27" s="103"/>
      <c r="Q27" s="103"/>
      <c r="R27" s="103"/>
      <c r="S27" s="103"/>
      <c r="T27" s="103"/>
      <c r="U27" s="103"/>
      <c r="V27" s="103"/>
      <c r="W27" s="103"/>
      <c r="X27" s="103"/>
      <c r="Y27" s="103"/>
      <c r="Z27" s="103"/>
    </row>
    <row r="28" ht="12.75" customHeight="1" spans="1:26">
      <c r="A28" s="103"/>
      <c r="B28" s="103"/>
      <c r="C28" s="134" t="s">
        <v>36</v>
      </c>
      <c r="D28" s="103"/>
      <c r="E28" s="135">
        <f>($D26+$E26)*100/$H26</f>
        <v>80.6451612903226</v>
      </c>
      <c r="F28" s="103" t="s">
        <v>37</v>
      </c>
      <c r="G28" s="103"/>
      <c r="H28" s="136"/>
      <c r="I28" s="103"/>
      <c r="J28" s="103"/>
      <c r="K28" s="103"/>
      <c r="L28" s="103"/>
      <c r="M28" s="103"/>
      <c r="N28" s="103"/>
      <c r="O28" s="103"/>
      <c r="P28" s="103"/>
      <c r="Q28" s="103"/>
      <c r="R28" s="103"/>
      <c r="S28" s="103"/>
      <c r="T28" s="103"/>
      <c r="U28" s="103"/>
      <c r="V28" s="103"/>
      <c r="W28" s="103"/>
      <c r="X28" s="103"/>
      <c r="Y28" s="103"/>
      <c r="Z28" s="103"/>
    </row>
    <row r="29" ht="12.75" customHeight="1" spans="1:26">
      <c r="A29" s="103"/>
      <c r="B29" s="103"/>
      <c r="C29" s="134" t="s">
        <v>38</v>
      </c>
      <c r="D29" s="103"/>
      <c r="E29" s="135">
        <f>$D26*100/($D26+$G26)</f>
        <v>77.5510204081633</v>
      </c>
      <c r="F29" s="103" t="s">
        <v>37</v>
      </c>
      <c r="G29" s="103"/>
      <c r="H29" s="136"/>
      <c r="I29" s="103"/>
      <c r="J29" s="103"/>
      <c r="K29" s="103"/>
      <c r="L29" s="103"/>
      <c r="M29" s="103"/>
      <c r="N29" s="103"/>
      <c r="O29" s="103"/>
      <c r="P29" s="103"/>
      <c r="Q29" s="103"/>
      <c r="R29" s="103"/>
      <c r="S29" s="103"/>
      <c r="T29" s="103"/>
      <c r="U29" s="103"/>
      <c r="V29" s="103"/>
      <c r="W29" s="103"/>
      <c r="X29" s="103"/>
      <c r="Y29" s="103"/>
      <c r="Z29" s="103"/>
    </row>
    <row r="30" ht="12.75" customHeight="1" spans="1:26">
      <c r="A30" s="103"/>
      <c r="B30" s="103"/>
      <c r="C30" s="103"/>
      <c r="D30" s="103"/>
      <c r="E30" s="135"/>
      <c r="F30" s="103"/>
      <c r="G30" s="103"/>
      <c r="H30" s="103"/>
      <c r="I30" s="103"/>
      <c r="J30" s="103"/>
      <c r="K30" s="103"/>
      <c r="L30" s="103"/>
      <c r="M30" s="103"/>
      <c r="N30" s="103"/>
      <c r="O30" s="103"/>
      <c r="P30" s="103"/>
      <c r="Q30" s="103"/>
      <c r="R30" s="103"/>
      <c r="S30" s="103"/>
      <c r="T30" s="103"/>
      <c r="U30" s="103"/>
      <c r="V30" s="103"/>
      <c r="W30" s="103"/>
      <c r="X30" s="103"/>
      <c r="Y30" s="103"/>
      <c r="Z30" s="103"/>
    </row>
    <row r="31" ht="12.75" customHeight="1" spans="1:26">
      <c r="A31" s="103"/>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ht="12.75" customHeight="1" spans="1:26">
      <c r="A32" s="103"/>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ht="12.75" customHeight="1" spans="1:26">
      <c r="A33" s="103"/>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ht="12.75" customHeight="1" spans="1:26">
      <c r="A34" s="103"/>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ht="12.75" customHeight="1" spans="1:26">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ht="12.75" customHeight="1" spans="1:26">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ht="12.75" customHeight="1" spans="1:26">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row>
    <row r="38" ht="12.75" customHeight="1" spans="1:26">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ht="12.75" customHeight="1" spans="1:26">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ht="12.75" customHeight="1" spans="1:26">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ht="12.75" customHeight="1" spans="1:26">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ht="12.75" customHeight="1" spans="1:26">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ht="12.75" customHeight="1" spans="1:26">
      <c r="A43" s="103"/>
      <c r="B43" s="103" t="str">
        <f ca="1" t="array" ref="B43">+B43:B45</f>
        <v>#REF!</v>
      </c>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ht="12.75" customHeight="1" spans="1:26">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ht="12.75" customHeight="1" spans="1:26">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ht="12.75" customHeight="1" spans="1:26">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ht="12.75" customHeight="1" spans="1:26">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ht="12.75" customHeight="1" spans="1:26">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ht="12.75" customHeight="1" spans="1:26">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ht="12.75" customHeight="1" spans="1:26">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ht="12.75" customHeight="1" spans="1:26">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ht="12.75" customHeight="1" spans="1:26">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ht="12.75" customHeight="1" spans="1:26">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ht="12.75" customHeight="1" spans="1:26">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ht="12.75" customHeight="1" spans="1:26">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ht="12.75" customHeight="1" spans="1:26">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ht="12.75" customHeight="1" spans="1:26">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ht="12.75" customHeight="1" spans="1:26">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ht="12.75" customHeight="1" spans="1:26">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ht="12.75" customHeight="1" spans="1:26">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ht="12.75" customHeight="1" spans="1:26">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ht="12.75" customHeight="1" spans="1:26">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ht="12.75" customHeight="1" spans="1:26">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ht="12.75" customHeight="1" spans="1:26">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ht="12.75" customHeight="1" spans="1:26">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ht="12.75" customHeight="1" spans="1:26">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ht="12.75" customHeight="1" spans="1:26">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ht="12.75" customHeight="1" spans="1:26">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ht="12.75" customHeight="1" spans="1:26">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ht="12.75" customHeight="1" spans="1:26">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ht="12.75" customHeight="1" spans="1:26">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ht="12.75" customHeight="1" spans="1:26">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ht="12.75" customHeight="1" spans="1:26">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ht="12.75" customHeight="1" spans="1:26">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ht="12.75" customHeight="1" spans="1:26">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ht="12.75" customHeight="1" spans="1:26">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ht="12.75" customHeight="1" spans="1:26">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ht="12.75" customHeight="1" spans="1:26">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ht="12.75" customHeight="1" spans="1:26">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ht="12.75" customHeight="1" spans="1:26">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ht="12.75" customHeight="1" spans="1:26">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ht="12.75" customHeight="1" spans="1:26">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ht="12.75" customHeight="1" spans="1:26">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ht="12.75" customHeight="1" spans="1:26">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ht="12.75" customHeight="1" spans="1:26">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ht="12.75" customHeight="1" spans="1:26">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ht="12.75" customHeight="1" spans="1:26">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ht="12.75" customHeight="1" spans="1:26">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ht="12.75" customHeight="1" spans="1:26">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ht="12.75" customHeight="1" spans="1:26">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ht="12.75" customHeight="1" spans="1:26">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ht="12.75" customHeight="1" spans="1:26">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ht="12.75" customHeight="1" spans="1:26">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ht="12.75" customHeight="1" spans="1:26">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ht="12.75" customHeight="1" spans="1:26">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ht="12.75" customHeight="1" spans="1:26">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ht="12.75" customHeight="1" spans="1:26">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ht="12.75" customHeight="1" spans="1:26">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ht="12.75" customHeight="1" spans="1:26">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ht="12.75" customHeight="1" spans="1:26">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ht="12.75" customHeight="1" spans="1:26">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ht="12.75" customHeight="1" spans="1:26">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ht="12.75" customHeight="1" spans="1:26">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ht="12.75" customHeight="1" spans="1:26">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ht="12.75" customHeight="1" spans="1:26">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ht="12.75" customHeight="1" spans="1:26">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ht="12.75" customHeight="1" spans="1:26">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ht="12.75" customHeight="1" spans="1:26">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ht="12.75" customHeight="1" spans="1:26">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ht="12.75" customHeight="1" spans="1:26">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ht="12.75" customHeight="1" spans="1:26">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ht="12.75" customHeight="1" spans="1:26">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ht="12.75" customHeight="1" spans="1:26">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ht="12.75" customHeight="1" spans="1:26">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ht="12.75" customHeight="1" spans="1:26">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ht="12.75" customHeight="1" spans="1:26">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ht="12.75" customHeight="1" spans="1:26">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ht="12.75" customHeight="1" spans="1:26">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ht="12.75" customHeight="1" spans="1:26">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ht="12.75" customHeight="1" spans="1:26">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ht="12.75" customHeight="1" spans="1:26">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ht="12.75" customHeight="1" spans="1:26">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ht="12.75" customHeight="1" spans="1:26">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ht="12.75" customHeight="1" spans="1:26">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ht="12.75" customHeight="1" spans="1:26">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ht="12.75" customHeight="1" spans="1:26">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ht="12.75" customHeight="1" spans="1:26">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ht="12.75" customHeight="1" spans="1:26">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ht="12.75" customHeight="1" spans="1:26">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ht="12.75" customHeight="1" spans="1:26">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ht="12.75" customHeight="1" spans="1:26">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ht="12.75" customHeight="1" spans="1:26">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ht="12.75" customHeight="1" spans="1:26">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ht="12.75" customHeight="1" spans="1:26">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ht="12.75" customHeight="1" spans="1:26">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ht="12.75" customHeight="1" spans="1:26">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ht="12.75" customHeight="1" spans="1:26">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ht="12.75" customHeight="1" spans="1:26">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ht="12.75" customHeight="1" spans="1:26">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ht="12.75" customHeight="1" spans="1:26">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ht="12.75" customHeight="1" spans="1:26">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ht="12.75" customHeight="1" spans="1:26">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ht="12.75" customHeight="1" spans="1:26">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ht="12.75" customHeight="1" spans="1:26">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ht="12.75" customHeight="1" spans="1:26">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ht="12.75" customHeight="1" spans="1:26">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ht="12.75" customHeight="1" spans="1:26">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ht="12.75" customHeight="1" spans="1:26">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ht="12.75" customHeight="1" spans="1:26">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ht="12.75" customHeight="1" spans="1:26">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ht="12.75" customHeight="1" spans="1:26">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ht="12.75" customHeight="1" spans="1:26">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ht="12.75" customHeight="1" spans="1:26">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ht="12.75" customHeight="1" spans="1:26">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ht="12.75" customHeight="1" spans="1:26">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ht="12.75" customHeight="1" spans="1:26">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ht="12.75" customHeight="1" spans="1:26">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ht="12.75" customHeight="1" spans="1:26">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ht="12.75" customHeight="1" spans="1:26">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ht="12.75" customHeight="1" spans="1:26">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ht="12.75" customHeight="1" spans="1:26">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ht="12.75" customHeight="1" spans="1:26">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ht="12.75" customHeight="1" spans="1:26">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ht="12.75" customHeight="1" spans="1:26">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ht="12.75" customHeight="1" spans="1:26">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ht="12.75" customHeight="1" spans="1:26">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ht="12.75" customHeight="1" spans="1:26">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ht="12.75" customHeight="1" spans="1:26">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ht="12.75" customHeight="1" spans="1:26">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ht="12.75" customHeight="1" spans="1:26">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ht="12.75" customHeight="1" spans="1:26">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ht="12.75" customHeight="1" spans="1:26">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ht="12.75" customHeight="1" spans="1:26">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ht="12.75" customHeight="1" spans="1:26">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ht="12.75" customHeight="1" spans="1:26">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ht="12.75" customHeight="1" spans="1:26">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ht="12.75" customHeight="1" spans="1:26">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ht="12.75" customHeight="1" spans="1:26">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ht="12.75" customHeight="1" spans="1:26">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ht="12.75" customHeight="1" spans="1:26">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ht="12.75" customHeight="1" spans="1:26">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ht="12.75" customHeight="1" spans="1:26">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ht="12.75" customHeight="1" spans="1:26">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ht="12.75" customHeight="1" spans="1:26">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ht="12.75" customHeight="1" spans="1:26">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ht="12.75" customHeight="1" spans="1:26">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ht="12.75" customHeight="1" spans="1:26">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ht="12.75" customHeight="1" spans="1:26">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ht="12.75" customHeight="1" spans="1:26">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ht="12.75" customHeight="1" spans="1:26">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ht="12.75" customHeight="1" spans="1:26">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ht="12.75" customHeight="1" spans="1:26">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ht="12.75" customHeight="1" spans="1:26">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ht="12.75" customHeight="1" spans="1:26">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ht="12.75" customHeight="1" spans="1:26">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ht="12.75" customHeight="1" spans="1:26">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ht="12.75" customHeight="1" spans="1:26">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ht="12.75" customHeight="1" spans="1:26">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ht="12.75" customHeight="1" spans="1:26">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ht="12.75" customHeight="1" spans="1:26">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ht="12.75" customHeight="1" spans="1:26">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ht="12.75" customHeight="1" spans="1:26">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ht="12.75" customHeight="1" spans="1:26">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ht="12.75" customHeight="1" spans="1:26">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ht="12.75" customHeight="1" spans="1:26">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ht="12.75" customHeight="1" spans="1:26">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ht="12.75" customHeight="1" spans="1:26">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ht="12.75" customHeight="1" spans="1:26">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ht="12.75" customHeight="1" spans="1:26">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ht="12.75" customHeight="1" spans="1:26">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ht="12.75" customHeight="1" spans="1:26">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ht="12.75" customHeight="1" spans="1:26">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ht="12.75" customHeight="1" spans="1:26">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ht="12.75" customHeight="1" spans="1:26">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ht="12.75" customHeight="1" spans="1:26">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ht="12.75" customHeight="1" spans="1:26">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ht="12.75" customHeight="1" spans="1:26">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ht="12.75" customHeight="1" spans="1:26">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ht="12.75" customHeight="1" spans="1:26">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ht="12.75" customHeight="1" spans="1:26">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ht="12.75" customHeight="1" spans="1:26">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ht="12.75" customHeight="1" spans="1:26">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ht="12.75" customHeight="1" spans="1:26">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ht="12.75" customHeight="1" spans="1:26">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ht="12.75" customHeight="1" spans="1:26">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ht="12.75" customHeight="1" spans="1:26">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ht="12.75" customHeight="1" spans="1:26">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ht="12.75" customHeight="1" spans="1:26">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ht="12.75" customHeight="1" spans="1:26">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ht="12.75" customHeight="1" spans="1:26">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ht="12.75" customHeight="1" spans="1:26">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ht="12.75" customHeight="1" spans="1:26">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ht="12.75" customHeight="1" spans="1:26">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ht="12.75" customHeight="1" spans="1:26">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ht="12.75" customHeight="1" spans="1:26">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ht="12.75" customHeight="1" spans="1:26">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ht="12.75" customHeight="1" spans="1:26">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ht="12.75" customHeight="1" spans="1:26">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ht="12.75" customHeight="1" spans="1:26">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ht="12.75" customHeight="1" spans="1:26">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ht="12.75" customHeight="1" spans="1:26">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ht="12.75" customHeight="1" spans="1:26">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ht="12.75" customHeight="1" spans="1:26">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ht="12.75" customHeight="1" spans="1:26">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ht="12.75" customHeight="1" spans="1:26">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ht="12.75" customHeight="1" spans="1:26">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ht="12.75" customHeight="1" spans="1:26">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ht="12.75" customHeight="1" spans="1:26">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ht="12.75" customHeight="1" spans="1:26">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ht="12.75" customHeight="1" spans="1:26">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ht="12.75" customHeight="1" spans="1:26">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ht="12.75" customHeight="1" spans="1:26">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ht="12.75" customHeight="1" spans="1:26">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ht="12.75" customHeight="1" spans="1:26">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ht="12.75" customHeight="1" spans="1:26">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ht="12.75" customHeight="1" spans="1:26">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ht="12.75" customHeight="1" spans="1:26">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ht="12.75" customHeight="1" spans="1:26">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ht="12.75" customHeight="1" spans="1:26">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ht="12.75" customHeight="1" spans="1:26">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ht="12.75" customHeight="1" spans="1:26">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ht="12.75" customHeight="1" spans="1:26">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ht="12.75" customHeight="1" spans="1:26">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ht="12.75" customHeight="1" spans="1:26">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ht="12.75" customHeight="1" spans="1:26">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ht="12.75" customHeight="1" spans="1:26">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ht="12.75" customHeight="1" spans="1:26">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ht="12.75" customHeight="1" spans="1:26">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ht="12.75" customHeight="1" spans="1:26">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ht="12.75" customHeight="1" spans="1:26">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ht="12.75" customHeight="1" spans="1:26">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ht="12.75" customHeight="1" spans="1:26">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ht="12.75" customHeight="1" spans="1:26">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ht="12.75" customHeight="1" spans="1:26">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ht="12.75" customHeight="1" spans="1:26">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ht="12.75" customHeight="1" spans="1:2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ht="12.75" customHeight="1" spans="1:26">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ht="12.75" customHeight="1" spans="1:26">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ht="12.75" customHeight="1" spans="1:26">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ht="12.75" customHeight="1" spans="1:26">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ht="12.75" customHeight="1" spans="1:26">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ht="12.75" customHeight="1" spans="1:26">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ht="12.75" customHeight="1" spans="1:26">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ht="12.75" customHeight="1" spans="1:26">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ht="12.75" customHeight="1" spans="1:26">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ht="12.75" customHeight="1" spans="1:2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ht="12.75" customHeight="1" spans="1:26">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ht="12.75" customHeight="1" spans="1:26">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ht="12.75" customHeight="1" spans="1:26">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ht="12.75" customHeight="1" spans="1:26">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ht="12.75" customHeight="1" spans="1:26">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ht="12.75" customHeight="1" spans="1:26">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ht="12.75" customHeight="1" spans="1:26">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ht="12.75" customHeight="1" spans="1:26">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ht="12.75" customHeight="1" spans="1:26">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ht="12.75" customHeight="1" spans="1:2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ht="12.75" customHeight="1" spans="1:26">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ht="12.75" customHeight="1" spans="1:26">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ht="12.75" customHeight="1" spans="1:26">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ht="12.75" customHeight="1" spans="1:26">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ht="12.75" customHeight="1" spans="1:26">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ht="12.75" customHeight="1" spans="1:26">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ht="12.75" customHeight="1" spans="1:26">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ht="12.75" customHeight="1" spans="1:26">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ht="12.75" customHeight="1" spans="1:26">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ht="12.75" customHeight="1" spans="1:2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ht="12.75" customHeight="1" spans="1:26">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ht="12.75" customHeight="1" spans="1:26">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ht="12.75" customHeight="1" spans="1:26">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ht="12.75" customHeight="1" spans="1:26">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ht="12.75" customHeight="1" spans="1:26">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ht="12.75" customHeight="1" spans="1:26">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ht="12.75" customHeight="1" spans="1:26">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ht="12.75" customHeight="1" spans="1:26">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ht="12.75" customHeight="1" spans="1:26">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ht="12.75" customHeight="1" spans="1:2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ht="12.75" customHeight="1" spans="1:26">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ht="12.75" customHeight="1" spans="1:26">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ht="12.75" customHeight="1" spans="1:26">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ht="12.75" customHeight="1" spans="1:26">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ht="12.75" customHeight="1" spans="1:26">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ht="12.75" customHeight="1" spans="1:26">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ht="12.75" customHeight="1" spans="1:26">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ht="12.75" customHeight="1" spans="1:26">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ht="12.75" customHeight="1" spans="1:26">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ht="12.75" customHeight="1" spans="1: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ht="12.75" customHeight="1" spans="1:26">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ht="12.75" customHeight="1" spans="1:26">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ht="12.75" customHeight="1" spans="1:26">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ht="12.75" customHeight="1" spans="1:26">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ht="12.75" customHeight="1" spans="1:26">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ht="12.75" customHeight="1" spans="1:26">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ht="12.75" customHeight="1" spans="1:26">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ht="12.75" customHeight="1" spans="1:26">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ht="12.75" customHeight="1" spans="1:26">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ht="12.75" customHeight="1" spans="1:2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ht="12.75" customHeight="1" spans="1:26">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ht="12.75" customHeight="1" spans="1:26">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ht="12.75" customHeight="1" spans="1:26">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ht="12.75" customHeight="1" spans="1:26">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ht="12.75" customHeight="1" spans="1:26">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ht="12.75" customHeight="1" spans="1:26">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ht="12.75" customHeight="1" spans="1:26">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ht="12.75" customHeight="1" spans="1:26">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ht="12.75" customHeight="1" spans="1:26">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ht="12.75" customHeight="1" spans="1:2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ht="12.75" customHeight="1" spans="1:26">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ht="12.75" customHeight="1" spans="1:26">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ht="12.75" customHeight="1" spans="1:26">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ht="12.75" customHeight="1" spans="1:26">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ht="12.75" customHeight="1" spans="1:26">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ht="12.75" customHeight="1" spans="1:26">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ht="12.75" customHeight="1" spans="1:26">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ht="12.75" customHeight="1" spans="1:26">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ht="12.75" customHeight="1" spans="1:26">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ht="12.75" customHeight="1" spans="1:2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ht="12.75" customHeight="1" spans="1:26">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ht="12.75" customHeight="1" spans="1:26">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ht="12.75" customHeight="1" spans="1:26">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ht="12.75" customHeight="1" spans="1:26">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ht="12.75" customHeight="1" spans="1:26">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ht="12.75" customHeight="1" spans="1:26">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ht="12.75" customHeight="1" spans="1:26">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ht="12.75" customHeight="1" spans="1:26">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ht="12.75" customHeight="1" spans="1:26">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ht="12.75" customHeight="1" spans="1:2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ht="12.75" customHeight="1" spans="1:26">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ht="12.75" customHeight="1" spans="1:26">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ht="12.75" customHeight="1" spans="1:26">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ht="12.75" customHeight="1" spans="1:26">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ht="12.75" customHeight="1" spans="1:26">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ht="12.75" customHeight="1" spans="1:26">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ht="12.75" customHeight="1" spans="1:26">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ht="12.75" customHeight="1" spans="1:26">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ht="12.75" customHeight="1" spans="1:26">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ht="12.75" customHeight="1" spans="1:2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ht="12.75" customHeight="1" spans="1:26">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ht="12.75" customHeight="1" spans="1:26">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ht="12.75" customHeight="1" spans="1:26">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ht="12.75" customHeight="1" spans="1:26">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ht="12.75" customHeight="1" spans="1:26">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ht="12.75" customHeight="1" spans="1:26">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ht="12.75" customHeight="1" spans="1:26">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ht="12.75" customHeight="1" spans="1:26">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ht="12.75" customHeight="1" spans="1:26">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ht="12.75" customHeight="1" spans="1:2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ht="12.75" customHeight="1" spans="1:26">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ht="12.75" customHeight="1" spans="1:26">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ht="12.75" customHeight="1" spans="1:26">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ht="12.75" customHeight="1" spans="1:26">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ht="12.75" customHeight="1" spans="1:26">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ht="12.75" customHeight="1" spans="1:26">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ht="12.75" customHeight="1" spans="1:26">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ht="12.75" customHeight="1" spans="1:26">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ht="12.75" customHeight="1" spans="1:26">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ht="12.75" customHeight="1" spans="1:2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ht="12.75" customHeight="1" spans="1:26">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ht="12.75" customHeight="1" spans="1:26">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ht="12.75" customHeight="1" spans="1:26">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ht="12.75" customHeight="1" spans="1:26">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ht="12.75" customHeight="1" spans="1:26">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ht="12.75" customHeight="1" spans="1:26">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ht="12.75" customHeight="1" spans="1:26">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ht="12.75" customHeight="1" spans="1:26">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ht="12.75" customHeight="1" spans="1:26">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ht="12.75" customHeight="1" spans="1:2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ht="12.75" customHeight="1" spans="1:26">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ht="12.75" customHeight="1" spans="1:26">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ht="12.75" customHeight="1" spans="1:26">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ht="12.75" customHeight="1" spans="1:26">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ht="12.75" customHeight="1" spans="1:26">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ht="12.75" customHeight="1" spans="1:26">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ht="12.75" customHeight="1" spans="1:26">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ht="12.75" customHeight="1" spans="1:26">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ht="12.75" customHeight="1" spans="1:26">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ht="12.75" customHeight="1" spans="1:2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ht="12.75" customHeight="1" spans="1:26">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ht="12.75" customHeight="1" spans="1:26">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ht="12.75" customHeight="1" spans="1:26">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ht="12.75" customHeight="1" spans="1:26">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ht="12.75" customHeight="1" spans="1:26">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ht="12.75" customHeight="1" spans="1:26">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ht="12.75" customHeight="1" spans="1:26">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ht="12.75" customHeight="1" spans="1:26">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ht="12.75" customHeight="1" spans="1:26">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ht="12.75" customHeight="1" spans="1: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ht="12.75" customHeight="1" spans="1:26">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ht="12.75" customHeight="1" spans="1:26">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ht="12.75" customHeight="1" spans="1:26">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ht="12.75" customHeight="1" spans="1:26">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ht="12.75" customHeight="1" spans="1:26">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ht="12.75" customHeight="1" spans="1:26">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ht="12.75" customHeight="1" spans="1:26">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ht="12.75" customHeight="1" spans="1:26">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ht="12.75" customHeight="1" spans="1:26">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ht="12.75" customHeight="1" spans="1:2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ht="12.75" customHeight="1" spans="1:26">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ht="12.75" customHeight="1" spans="1:26">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ht="12.75" customHeight="1" spans="1:26">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ht="12.75" customHeight="1" spans="1:26">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ht="12.75" customHeight="1" spans="1:26">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ht="12.75" customHeight="1" spans="1:26">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ht="12.75" customHeight="1" spans="1:26">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ht="12.75" customHeight="1" spans="1:26">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ht="12.75" customHeight="1" spans="1:26">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ht="12.75" customHeight="1" spans="1:2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ht="12.75" customHeight="1" spans="1:26">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ht="12.75" customHeight="1" spans="1:26">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ht="12.75" customHeight="1" spans="1:26">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ht="12.75" customHeight="1" spans="1:26">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ht="12.75" customHeight="1" spans="1:26">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ht="12.75" customHeight="1" spans="1:26">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ht="12.75" customHeight="1" spans="1:26">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ht="12.75" customHeight="1" spans="1:26">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ht="12.75" customHeight="1" spans="1:26">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ht="12.75" customHeight="1" spans="1:2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ht="12.75" customHeight="1" spans="1:26">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ht="12.75" customHeight="1" spans="1:26">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ht="12.75" customHeight="1" spans="1:26">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ht="12.75" customHeight="1" spans="1:26">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ht="12.75" customHeight="1" spans="1:26">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ht="12.75" customHeight="1" spans="1:26">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ht="12.75" customHeight="1" spans="1:26">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ht="12.75" customHeight="1" spans="1:26">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ht="12.75" customHeight="1" spans="1:26">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ht="12.75" customHeight="1" spans="1:2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ht="12.75" customHeight="1" spans="1:26">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ht="12.75" customHeight="1" spans="1:26">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ht="12.75" customHeight="1" spans="1:26">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ht="12.75" customHeight="1" spans="1:26">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ht="12.75" customHeight="1" spans="1:26">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ht="12.75" customHeight="1" spans="1:26">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ht="12.75" customHeight="1" spans="1:26">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ht="12.75" customHeight="1" spans="1:26">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ht="12.75" customHeight="1" spans="1:26">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ht="12.75" customHeight="1" spans="1:2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ht="12.75" customHeight="1" spans="1:26">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ht="12.75" customHeight="1" spans="1:26">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ht="12.75" customHeight="1" spans="1:26">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ht="12.75" customHeight="1" spans="1:26">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ht="12.75" customHeight="1" spans="1:26">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ht="12.75" customHeight="1" spans="1:26">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ht="12.75" customHeight="1" spans="1:26">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ht="12.75" customHeight="1" spans="1:26">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ht="12.75" customHeight="1" spans="1:26">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ht="12.75" customHeight="1" spans="1:2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ht="12.75" customHeight="1" spans="1:26">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ht="12.75" customHeight="1" spans="1:26">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ht="12.75" customHeight="1" spans="1:26">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ht="12.75" customHeight="1" spans="1:26">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ht="12.75" customHeight="1" spans="1:26">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ht="12.75" customHeight="1" spans="1:26">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ht="12.75" customHeight="1" spans="1:26">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ht="12.75" customHeight="1" spans="1:26">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ht="12.75" customHeight="1" spans="1:26">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ht="12.75" customHeight="1" spans="1:2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ht="12.75" customHeight="1" spans="1:26">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ht="12.75" customHeight="1" spans="1:26">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ht="12.75" customHeight="1" spans="1:26">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ht="12.75" customHeight="1" spans="1:26">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ht="12.75" customHeight="1" spans="1:26">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ht="12.75" customHeight="1" spans="1:26">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ht="12.75" customHeight="1" spans="1:26">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ht="12.75" customHeight="1" spans="1:26">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ht="12.75" customHeight="1" spans="1:26">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ht="12.75" customHeight="1" spans="1:2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ht="12.75" customHeight="1" spans="1:26">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ht="12.75" customHeight="1" spans="1:26">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ht="12.75" customHeight="1" spans="1:26">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ht="12.75" customHeight="1" spans="1:26">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ht="12.75" customHeight="1" spans="1:26">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ht="12.75" customHeight="1" spans="1:26">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ht="12.75" customHeight="1" spans="1:26">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ht="12.75" customHeight="1" spans="1:26">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ht="12.75" customHeight="1" spans="1:26">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ht="12.75" customHeight="1" spans="1:2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ht="12.75" customHeight="1" spans="1:26">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ht="12.75" customHeight="1" spans="1:26">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ht="12.75" customHeight="1" spans="1:26">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ht="12.75" customHeight="1" spans="1:26">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ht="12.75" customHeight="1" spans="1:26">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ht="12.75" customHeight="1" spans="1:26">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ht="12.75" customHeight="1" spans="1:26">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ht="12.75" customHeight="1" spans="1:26">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ht="12.75" customHeight="1" spans="1:26">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ht="12.75" customHeight="1" spans="1: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ht="12.75" customHeight="1" spans="1:26">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ht="12.75" customHeight="1" spans="1:26">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ht="12.75" customHeight="1" spans="1:26">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ht="12.75" customHeight="1" spans="1:26">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ht="12.75" customHeight="1" spans="1:26">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ht="12.75" customHeight="1" spans="1:26">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ht="12.75" customHeight="1" spans="1:26">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ht="12.75" customHeight="1" spans="1:26">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ht="12.75" customHeight="1" spans="1:26">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ht="12.75" customHeight="1" spans="1:2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ht="12.75" customHeight="1" spans="1:26">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ht="12.75" customHeight="1" spans="1:26">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ht="12.75" customHeight="1" spans="1:26">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ht="12.75" customHeight="1" spans="1:26">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ht="12.75" customHeight="1" spans="1:26">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ht="12.75" customHeight="1" spans="1:26">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ht="12.75" customHeight="1" spans="1:26">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ht="12.75" customHeight="1" spans="1:26">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ht="12.75" customHeight="1" spans="1:26">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ht="12.75" customHeight="1" spans="1:2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ht="12.75" customHeight="1" spans="1:26">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ht="12.75" customHeight="1" spans="1:26">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ht="12.75" customHeight="1" spans="1:26">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ht="12.75" customHeight="1" spans="1:26">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ht="12.75" customHeight="1" spans="1:26">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ht="12.75" customHeight="1" spans="1:26">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ht="12.75" customHeight="1" spans="1:26">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ht="12.75" customHeight="1" spans="1:26">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ht="12.75" customHeight="1" spans="1:26">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ht="12.75" customHeight="1" spans="1:2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ht="12.75" customHeight="1" spans="1:26">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ht="12.75" customHeight="1" spans="1:26">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ht="12.75" customHeight="1" spans="1:26">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ht="12.75" customHeight="1" spans="1:26">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ht="12.75" customHeight="1" spans="1:26">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ht="12.75" customHeight="1" spans="1:26">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ht="12.75" customHeight="1" spans="1:26">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ht="12.75" customHeight="1" spans="1:26">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ht="12.75" customHeight="1" spans="1:26">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ht="12.75" customHeight="1" spans="1:2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ht="12.75" customHeight="1" spans="1:26">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ht="12.75" customHeight="1" spans="1:26">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ht="12.75" customHeight="1" spans="1:26">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ht="12.75" customHeight="1" spans="1:26">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ht="12.75" customHeight="1" spans="1:26">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ht="12.75" customHeight="1" spans="1:26">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ht="12.75" customHeight="1" spans="1:26">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ht="12.75" customHeight="1" spans="1:26">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ht="12.75" customHeight="1" spans="1:26">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ht="12.75" customHeight="1" spans="1:2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ht="12.75" customHeight="1" spans="1:26">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ht="12.75" customHeight="1" spans="1:26">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ht="12.75" customHeight="1" spans="1:26">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ht="12.75" customHeight="1" spans="1:26">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ht="12.75" customHeight="1" spans="1:26">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ht="12.75" customHeight="1" spans="1:26">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ht="12.75" customHeight="1" spans="1:26">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ht="12.75" customHeight="1" spans="1:26">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ht="12.75" customHeight="1" spans="1:26">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ht="12.75" customHeight="1" spans="1:2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ht="12.75" customHeight="1" spans="1:26">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ht="12.75" customHeight="1" spans="1:26">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ht="12.75" customHeight="1" spans="1:26">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ht="12.75" customHeight="1" spans="1:26">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ht="12.75" customHeight="1" spans="1:26">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ht="12.75" customHeight="1" spans="1:26">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ht="12.75" customHeight="1" spans="1:26">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ht="12.75" customHeight="1" spans="1:26">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ht="12.75" customHeight="1" spans="1:26">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ht="12.75" customHeight="1" spans="1:2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ht="12.75" customHeight="1" spans="1:26">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ht="12.75" customHeight="1" spans="1:26">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ht="12.75" customHeight="1" spans="1:26">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ht="12.75" customHeight="1" spans="1:26">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ht="12.75" customHeight="1" spans="1:26">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ht="12.75" customHeight="1" spans="1:26">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ht="12.75" customHeight="1" spans="1:26">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ht="12.75" customHeight="1" spans="1:26">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ht="12.75" customHeight="1" spans="1:26">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ht="12.75" customHeight="1" spans="1:2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ht="12.75" customHeight="1" spans="1:26">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ht="12.75" customHeight="1" spans="1:26">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ht="12.75" customHeight="1" spans="1:26">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ht="12.75" customHeight="1" spans="1:26">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ht="12.75" customHeight="1" spans="1:26">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ht="12.75" customHeight="1" spans="1:26">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ht="12.75" customHeight="1" spans="1:26">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ht="12.75" customHeight="1" spans="1:26">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ht="12.75" customHeight="1" spans="1:26">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ht="12.75" customHeight="1" spans="1:2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ht="12.75" customHeight="1" spans="1:26">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ht="12.75" customHeight="1" spans="1:26">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ht="12.75" customHeight="1" spans="1:26">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ht="12.75" customHeight="1" spans="1:26">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ht="12.75" customHeight="1" spans="1:26">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ht="12.75" customHeight="1" spans="1:26">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ht="12.75" customHeight="1" spans="1:26">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ht="12.75" customHeight="1" spans="1:26">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ht="12.75" customHeight="1" spans="1:26">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ht="12.75" customHeight="1" spans="1: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ht="12.75" customHeight="1" spans="1:26">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ht="12.75" customHeight="1" spans="1:26">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ht="12.75" customHeight="1" spans="1:26">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ht="12.75" customHeight="1" spans="1:26">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ht="12.75" customHeight="1" spans="1:26">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ht="12.75" customHeight="1" spans="1:26">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ht="12.75" customHeight="1" spans="1:26">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ht="12.75" customHeight="1" spans="1:26">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ht="12.75" customHeight="1" spans="1:26">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ht="12.75" customHeight="1" spans="1:2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ht="12.75" customHeight="1" spans="1:26">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ht="12.75" customHeight="1" spans="1:26">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ht="12.75" customHeight="1" spans="1:26">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ht="12.75" customHeight="1" spans="1:26">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ht="12.75" customHeight="1" spans="1:26">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ht="12.75" customHeight="1" spans="1:26">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ht="12.75" customHeight="1" spans="1:26">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ht="12.75" customHeight="1" spans="1:26">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ht="12.75" customHeight="1" spans="1:26">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ht="12.75" customHeight="1" spans="1:2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ht="12.75" customHeight="1" spans="1:26">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ht="12.75" customHeight="1" spans="1:26">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ht="12.75" customHeight="1" spans="1:26">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ht="12.75" customHeight="1" spans="1:26">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ht="12.75" customHeight="1" spans="1:26">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ht="12.75" customHeight="1" spans="1:26">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ht="12.75" customHeight="1" spans="1:26">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ht="12.75" customHeight="1" spans="1:26">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ht="12.75" customHeight="1" spans="1:26">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ht="12.75" customHeight="1" spans="1:2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ht="12.75" customHeight="1" spans="1:26">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ht="12.75" customHeight="1" spans="1:26">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ht="12.75" customHeight="1" spans="1:26">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ht="12.75" customHeight="1" spans="1:26">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ht="12.75" customHeight="1" spans="1:26">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ht="12.75" customHeight="1" spans="1:26">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ht="12.75" customHeight="1" spans="1:26">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ht="12.75" customHeight="1" spans="1:26">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ht="12.75" customHeight="1" spans="1:26">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ht="12.75" customHeight="1" spans="1:2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ht="12.75" customHeight="1" spans="1:26">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ht="12.75" customHeight="1" spans="1:26">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ht="12.75" customHeight="1" spans="1:26">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ht="12.75" customHeight="1" spans="1:26">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ht="12.75" customHeight="1" spans="1:26">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ht="12.75" customHeight="1" spans="1:26">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ht="12.75" customHeight="1" spans="1:26">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ht="12.75" customHeight="1" spans="1:26">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ht="12.75" customHeight="1" spans="1:26">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ht="12.75" customHeight="1" spans="1:2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ht="12.75" customHeight="1" spans="1:26">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ht="12.75" customHeight="1" spans="1:26">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ht="12.75" customHeight="1" spans="1:26">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ht="12.75" customHeight="1" spans="1:26">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ht="12.75" customHeight="1" spans="1:26">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ht="12.75" customHeight="1" spans="1:26">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ht="12.75" customHeight="1" spans="1:26">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ht="12.75" customHeight="1" spans="1:26">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ht="12.75" customHeight="1" spans="1:26">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ht="12.75" customHeight="1" spans="1:2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ht="12.75" customHeight="1" spans="1:26">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ht="12.75" customHeight="1" spans="1:26">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ht="12.75" customHeight="1" spans="1:26">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ht="12.75" customHeight="1" spans="1:26">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ht="12.75" customHeight="1" spans="1:26">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ht="12.75" customHeight="1" spans="1:26">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ht="12.75" customHeight="1" spans="1:26">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ht="12.75" customHeight="1" spans="1:26">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ht="12.75" customHeight="1" spans="1:26">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ht="12.75" customHeight="1" spans="1:2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ht="12.75" customHeight="1" spans="1:26">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ht="12.75" customHeight="1" spans="1:26">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ht="12.75" customHeight="1" spans="1:26">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ht="12.75" customHeight="1" spans="1:26">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ht="12.75" customHeight="1" spans="1:26">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ht="12.75" customHeight="1" spans="1:26">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ht="12.75" customHeight="1" spans="1:26">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ht="12.75" customHeight="1" spans="1:26">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ht="12.75" customHeight="1" spans="1:26">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ht="12.75" customHeight="1" spans="1:2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ht="12.75" customHeight="1" spans="1:26">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ht="12.75" customHeight="1" spans="1:26">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ht="12.75" customHeight="1" spans="1:26">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ht="12.75" customHeight="1" spans="1:26">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ht="12.75" customHeight="1" spans="1:26">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ht="12.75" customHeight="1" spans="1:26">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ht="12.75" customHeight="1" spans="1:26">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ht="12.75" customHeight="1" spans="1:26">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ht="12.75" customHeight="1" spans="1:26">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ht="12.75" customHeight="1" spans="1:2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ht="12.75" customHeight="1" spans="1:26">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ht="12.75" customHeight="1" spans="1:26">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ht="12.75" customHeight="1" spans="1:26">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ht="12.75" customHeight="1" spans="1:26">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ht="12.75" customHeight="1" spans="1:26">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ht="12.75" customHeight="1" spans="1:26">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ht="12.75" customHeight="1" spans="1:26">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ht="12.75" customHeight="1" spans="1:26">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ht="12.75" customHeight="1" spans="1:26">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ht="12.75" customHeight="1" spans="1: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ht="12.75" customHeight="1" spans="1:26">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ht="12.75" customHeight="1" spans="1:26">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ht="12.75" customHeight="1" spans="1:26">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ht="12.75" customHeight="1" spans="1:26">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ht="12.75" customHeight="1" spans="1:26">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ht="12.75" customHeight="1" spans="1:26">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ht="12.75" customHeight="1" spans="1:26">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ht="12.75" customHeight="1" spans="1:26">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ht="12.75" customHeight="1" spans="1:26">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ht="12.75" customHeight="1" spans="1:2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ht="12.75" customHeight="1" spans="1:26">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ht="12.75" customHeight="1" spans="1:26">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ht="12.75" customHeight="1" spans="1:26">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ht="12.75" customHeight="1" spans="1:26">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ht="12.75" customHeight="1" spans="1:26">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ht="12.75" customHeight="1" spans="1:26">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ht="12.75" customHeight="1" spans="1:26">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ht="12.75" customHeight="1" spans="1:26">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ht="12.75" customHeight="1" spans="1:26">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ht="12.75" customHeight="1" spans="1:2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ht="12.75" customHeight="1" spans="1:26">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ht="12.75" customHeight="1" spans="1:26">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ht="12.75" customHeight="1" spans="1:26">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ht="12.75" customHeight="1" spans="1:26">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ht="12.75" customHeight="1" spans="1:26">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ht="12.75" customHeight="1" spans="1:26">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ht="12.75" customHeight="1" spans="1:26">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ht="12.75" customHeight="1" spans="1:26">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ht="12.75" customHeight="1" spans="1:26">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ht="12.75" customHeight="1" spans="1:2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ht="12.75" customHeight="1" spans="1:26">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ht="12.75" customHeight="1" spans="1:26">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ht="12.75" customHeight="1" spans="1:26">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ht="12.75" customHeight="1" spans="1:26">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ht="12.75" customHeight="1" spans="1:26">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ht="12.75" customHeight="1" spans="1:26">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ht="12.75" customHeight="1" spans="1:26">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ht="12.75" customHeight="1" spans="1:26">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ht="12.75" customHeight="1" spans="1:26">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ht="12.75" customHeight="1" spans="1:2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ht="12.75" customHeight="1" spans="1:26">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ht="12.75" customHeight="1" spans="1:26">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ht="12.75" customHeight="1" spans="1:26">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ht="12.75" customHeight="1" spans="1:26">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ht="12.75" customHeight="1" spans="1:26">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ht="12.75" customHeight="1" spans="1:26">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ht="12.75" customHeight="1" spans="1:26">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ht="12.75" customHeight="1" spans="1:26">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ht="12.75" customHeight="1" spans="1:26">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ht="12.75" customHeight="1" spans="1:2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ht="12.75" customHeight="1" spans="1:26">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ht="12.75" customHeight="1" spans="1:26">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ht="12.75" customHeight="1" spans="1:26">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ht="12.75" customHeight="1" spans="1:26">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ht="12.75" customHeight="1" spans="1:26">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ht="12.75" customHeight="1" spans="1:26">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ht="12.75" customHeight="1" spans="1:26">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ht="12.75" customHeight="1" spans="1:26">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ht="12.75" customHeight="1" spans="1:26">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ht="12.75" customHeight="1" spans="1:2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ht="12.75" customHeight="1" spans="1:26">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ht="12.75" customHeight="1" spans="1:26">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ht="12.75" customHeight="1" spans="1:26">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ht="12.75" customHeight="1" spans="1:26">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ht="12.75" customHeight="1" spans="1:26">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ht="12.75" customHeight="1" spans="1:26">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ht="12.75" customHeight="1" spans="1:26">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ht="12.75" customHeight="1" spans="1:26">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ht="12.75" customHeight="1" spans="1:26">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ht="12.75" customHeight="1" spans="1:2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ht="12.75" customHeight="1" spans="1:26">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ht="12.75" customHeight="1" spans="1:26">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ht="12.75" customHeight="1" spans="1:26">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ht="12.75" customHeight="1" spans="1:26">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ht="12.75" customHeight="1" spans="1:26">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ht="12.75" customHeight="1" spans="1:26">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ht="12.75" customHeight="1" spans="1:26">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ht="12.75" customHeight="1" spans="1:26">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ht="12.75" customHeight="1" spans="1:26">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ht="12.75" customHeight="1" spans="1:2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ht="12.75" customHeight="1" spans="1:26">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ht="12.75" customHeight="1" spans="1:26">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ht="12.75" customHeight="1" spans="1:26">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ht="12.75" customHeight="1" spans="1:26">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ht="12.75" customHeight="1" spans="1:26">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ht="12.75" customHeight="1" spans="1:26">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ht="12.75" customHeight="1" spans="1:26">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ht="12.75" customHeight="1" spans="1:26">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ht="12.75" customHeight="1" spans="1:26">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ht="12.75" customHeight="1" spans="1:2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ht="12.75" customHeight="1" spans="1:26">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ht="12.75" customHeight="1" spans="1:26">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ht="12.75" customHeight="1" spans="1:26">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ht="12.75" customHeight="1" spans="1:26">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ht="12.75" customHeight="1" spans="1:26">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ht="12.75" customHeight="1" spans="1:26">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ht="12.75" customHeight="1" spans="1:26">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ht="12.75" customHeight="1" spans="1:26">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ht="12.75" customHeight="1" spans="1:26">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ht="12.75" customHeight="1" spans="1: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ht="12.75" customHeight="1" spans="1:26">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ht="12.75" customHeight="1" spans="1:26">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ht="12.75" customHeight="1" spans="1:26">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ht="12.75" customHeight="1" spans="1:26">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ht="12.75" customHeight="1" spans="1:26">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ht="12.75" customHeight="1" spans="1:26">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ht="12.75" customHeight="1" spans="1:26">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ht="12.75" customHeight="1" spans="1:26">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ht="12.75" customHeight="1" spans="1:26">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ht="12.75" customHeight="1" spans="1:2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ht="12.75" customHeight="1" spans="1:26">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ht="12.75" customHeight="1" spans="1:26">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ht="12.75" customHeight="1" spans="1:26">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ht="12.75" customHeight="1" spans="1:26">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ht="12.75" customHeight="1" spans="1:26">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ht="12.75" customHeight="1" spans="1:26">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ht="12.75" customHeight="1" spans="1:26">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ht="12.75" customHeight="1" spans="1:26">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ht="12.75" customHeight="1" spans="1:26">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ht="12.75" customHeight="1" spans="1:2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ht="12.75" customHeight="1" spans="1:26">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ht="12.75" customHeight="1" spans="1:26">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ht="12.75" customHeight="1" spans="1:26">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ht="12.75" customHeight="1" spans="1:26">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ht="12.75" customHeight="1" spans="1:26">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ht="12.75" customHeight="1" spans="1:26">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ht="12.75" customHeight="1" spans="1:26">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ht="12.75" customHeight="1" spans="1:26">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ht="12.75" customHeight="1" spans="1:26">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ht="12.75" customHeight="1" spans="1:2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ht="12.75" customHeight="1" spans="1:26">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ht="12.75" customHeight="1" spans="1:26">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ht="12.75" customHeight="1" spans="1:26">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ht="12.75" customHeight="1" spans="1:26">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ht="12.75" customHeight="1" spans="1:26">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ht="12.75" customHeight="1" spans="1:26">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ht="12.75" customHeight="1" spans="1:26">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ht="12.75" customHeight="1" spans="1:26">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ht="12.75" customHeight="1" spans="1:26">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ht="12.75" customHeight="1" spans="1:2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ht="12.75" customHeight="1" spans="1:26">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ht="12.75" customHeight="1" spans="1:26">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ht="12.75" customHeight="1" spans="1:26">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ht="12.75" customHeight="1" spans="1:26">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ht="12.75" customHeight="1" spans="1:26">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ht="12.75" customHeight="1" spans="1:26">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ht="12.75" customHeight="1" spans="1:26">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ht="12.75" customHeight="1" spans="1:26">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ht="12.75" customHeight="1" spans="1:26">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ht="12.75" customHeight="1" spans="1:2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ht="12.75" customHeight="1" spans="1:26">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ht="12.75" customHeight="1" spans="1:26">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ht="12.75" customHeight="1" spans="1:26">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ht="12.75" customHeight="1" spans="1:26">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ht="12.75" customHeight="1" spans="1:26">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ht="12.75" customHeight="1" spans="1:26">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ht="12.75" customHeight="1" spans="1:26">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ht="12.75" customHeight="1" spans="1:26">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ht="12.75" customHeight="1" spans="1:26">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ht="12.75" customHeight="1" spans="1:2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ht="12.75" customHeight="1" spans="1:26">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ht="12.75" customHeight="1" spans="1:26">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ht="12.75" customHeight="1" spans="1:26">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ht="12.75" customHeight="1" spans="1:26">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ht="12.75" customHeight="1" spans="1:26">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ht="12.75" customHeight="1" spans="1:26">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ht="12.75" customHeight="1" spans="1:26">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ht="12.75" customHeight="1" spans="1:26">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ht="12.75" customHeight="1" spans="1:26">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ht="12.75" customHeight="1" spans="1:2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ht="12.75" customHeight="1" spans="1:26">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ht="12.75" customHeight="1" spans="1:26">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ht="12.75" customHeight="1" spans="1:26">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ht="12.75" customHeight="1" spans="1:26">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ht="12.75" customHeight="1" spans="1:26">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ht="12.75" customHeight="1" spans="1:26">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ht="12.75" customHeight="1" spans="1:26">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ht="12.75" customHeight="1" spans="1:26">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ht="12.75" customHeight="1" spans="1:26">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ht="12.75" customHeight="1" spans="1:2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ht="12.75" customHeight="1" spans="1:26">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ht="12.75" customHeight="1" spans="1:26">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ht="12.75" customHeight="1" spans="1:26">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ht="12.75" customHeight="1" spans="1:26">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ht="12.75" customHeight="1" spans="1:26">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ht="12.75" customHeight="1" spans="1:26">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ht="12.75" customHeight="1" spans="1:26">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ht="12.75" customHeight="1" spans="1:26">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ht="12.75" customHeight="1" spans="1:26">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ht="12.75" customHeight="1" spans="1:2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ht="12.75" customHeight="1" spans="1:26">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ht="12.75" customHeight="1" spans="1:26">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ht="12.75" customHeight="1" spans="1:26">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ht="12.75" customHeight="1" spans="1:26">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ht="12.75" customHeight="1" spans="1:26">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ht="12.75" customHeight="1" spans="1:26">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ht="12.75" customHeight="1" spans="1:26">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ht="12.75" customHeight="1" spans="1:26">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ht="12.75" customHeight="1" spans="1:26">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ht="12.75" customHeight="1" spans="1: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ht="12.75" customHeight="1" spans="1:26">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ht="12.75" customHeight="1" spans="1:26">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ht="12.75" customHeight="1" spans="1:26">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ht="12.75" customHeight="1" spans="1:26">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ht="12.75" customHeight="1" spans="1:26">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ht="12.75" customHeight="1" spans="1:26">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ht="12.75" customHeight="1" spans="1:26">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ht="12.75" customHeight="1" spans="1:26">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ht="12.75" customHeight="1" spans="1:26">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ht="12.75" customHeight="1" spans="1:2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ht="12.75" customHeight="1" spans="1:26">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ht="12.75" customHeight="1" spans="1:26">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ht="12.75" customHeight="1" spans="1:26">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ht="12.75" customHeight="1" spans="1:26">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ht="12.75" customHeight="1" spans="1:26">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ht="12.75" customHeight="1" spans="1:26">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ht="12.75" customHeight="1" spans="1:26">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ht="12.75" customHeight="1" spans="1:26">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ht="12.75" customHeight="1" spans="1:26">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ht="12.75" customHeight="1" spans="1:2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ht="12.75" customHeight="1" spans="1:26">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ht="12.75" customHeight="1" spans="1:26">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ht="12.75" customHeight="1" spans="1:26">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ht="12.75" customHeight="1" spans="1:26">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ht="12.75" customHeight="1" spans="1:26">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ht="12.75" customHeight="1" spans="1:26">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ht="12.75" customHeight="1" spans="1:26">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ht="12.75" customHeight="1" spans="1:26">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ht="12.75" customHeight="1" spans="1:26">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ht="12.75" customHeight="1" spans="1:2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ht="12.75" customHeight="1" spans="1:26">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ht="12.75" customHeight="1" spans="1:26">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ht="12.75" customHeight="1" spans="1:26">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ht="12.75" customHeight="1" spans="1:26">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ht="12.75" customHeight="1" spans="1:26">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ht="12.75" customHeight="1" spans="1:26">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ht="12.75" customHeight="1" spans="1:26">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ht="12.75" customHeight="1" spans="1:26">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ht="12.75" customHeight="1" spans="1:26">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ht="12.75" customHeight="1" spans="1:2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ht="12.75" customHeight="1" spans="1:26">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ht="12.75" customHeight="1" spans="1:26">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ht="12.75" customHeight="1" spans="1:26">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ht="12.75" customHeight="1" spans="1:26">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ht="12.75" customHeight="1" spans="1:26">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ht="12.75" customHeight="1" spans="1:26">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ht="12.75" customHeight="1" spans="1:26">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ht="12.75" customHeight="1" spans="1:26">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ht="12.75" customHeight="1" spans="1:26">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ht="12.75" customHeight="1" spans="1:26">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ht="12.75" customHeight="1" spans="1:26">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ht="12.75" customHeight="1" spans="1:26">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ht="12.75" customHeight="1" spans="1:26">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ht="12.75" customHeight="1" spans="1:26">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ht="12.75" customHeight="1" spans="1:26">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ht="12.75" customHeight="1" spans="1:26">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ht="12.75" customHeight="1" spans="1:26">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ht="12.75" customHeight="1" spans="1:26">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ht="12.75" customHeight="1" spans="1:26">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ht="12.75" customHeight="1" spans="1:26">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ht="12.75" customHeight="1" spans="1:26">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ht="12.75" customHeight="1" spans="1:26">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ht="12.75" customHeight="1" spans="1:26">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ht="12.75" customHeight="1" spans="1:26">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ht="12.75" customHeight="1" spans="1:26">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ht="12.75" customHeight="1" spans="1:26">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ht="12.75" customHeight="1" spans="1:26">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ht="12.75" customHeight="1" spans="1:26">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ht="12.75" customHeight="1" spans="1:26">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ht="12.75" customHeight="1" spans="1:26">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ht="12.75" customHeight="1" spans="1:26">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ht="12.75" customHeight="1" spans="1:26">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ht="12.75" customHeight="1" spans="1:26">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ht="12.75" customHeight="1" spans="1:26">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row r="1001" ht="12.75" customHeight="1" spans="1:26">
      <c r="A1001" s="103"/>
      <c r="B1001" s="103"/>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c r="W1001" s="103"/>
      <c r="X1001" s="103"/>
      <c r="Y1001" s="103"/>
      <c r="Z1001" s="103"/>
    </row>
    <row r="1002" ht="12.75" customHeight="1" spans="1:26">
      <c r="A1002" s="103"/>
      <c r="B1002" s="103"/>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c r="W1002" s="103"/>
      <c r="X1002" s="103"/>
      <c r="Y1002" s="103"/>
      <c r="Z1002" s="103"/>
    </row>
    <row r="1003" ht="12.75" customHeight="1" spans="1:26">
      <c r="A1003" s="103"/>
      <c r="B1003" s="103"/>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c r="W1003" s="103"/>
      <c r="X1003" s="103"/>
      <c r="Y1003" s="103"/>
      <c r="Z1003" s="103"/>
    </row>
    <row r="1004" ht="12.75" customHeight="1" spans="1:26">
      <c r="A1004" s="103"/>
      <c r="B1004" s="103"/>
      <c r="C1004" s="103"/>
      <c r="D1004" s="103"/>
      <c r="E1004" s="103"/>
      <c r="F1004" s="103"/>
      <c r="G1004" s="103"/>
      <c r="H1004" s="103"/>
      <c r="I1004" s="103"/>
      <c r="J1004" s="103"/>
      <c r="K1004" s="103"/>
      <c r="L1004" s="103"/>
      <c r="M1004" s="103"/>
      <c r="N1004" s="103"/>
      <c r="O1004" s="103"/>
      <c r="P1004" s="103"/>
      <c r="Q1004" s="103"/>
      <c r="R1004" s="103"/>
      <c r="S1004" s="103"/>
      <c r="T1004" s="103"/>
      <c r="U1004" s="103"/>
      <c r="V1004" s="103"/>
      <c r="W1004" s="103"/>
      <c r="X1004" s="103"/>
      <c r="Y1004" s="103"/>
      <c r="Z1004" s="103"/>
    </row>
    <row r="1005" ht="12.75" customHeight="1" spans="1:26">
      <c r="A1005" s="103"/>
      <c r="B1005" s="103"/>
      <c r="C1005" s="103"/>
      <c r="D1005" s="103"/>
      <c r="E1005" s="103"/>
      <c r="F1005" s="103"/>
      <c r="G1005" s="103"/>
      <c r="H1005" s="103"/>
      <c r="I1005" s="103"/>
      <c r="J1005" s="103"/>
      <c r="K1005" s="103"/>
      <c r="L1005" s="103"/>
      <c r="M1005" s="103"/>
      <c r="N1005" s="103"/>
      <c r="O1005" s="103"/>
      <c r="P1005" s="103"/>
      <c r="Q1005" s="103"/>
      <c r="R1005" s="103"/>
      <c r="S1005" s="103"/>
      <c r="T1005" s="103"/>
      <c r="U1005" s="103"/>
      <c r="V1005" s="103"/>
      <c r="W1005" s="103"/>
      <c r="X1005" s="103"/>
      <c r="Y1005" s="103"/>
      <c r="Z1005" s="103"/>
    </row>
    <row r="1006" ht="12.75" customHeight="1" spans="1:26">
      <c r="A1006" s="103"/>
      <c r="B1006" s="103"/>
      <c r="C1006" s="103"/>
      <c r="D1006" s="103"/>
      <c r="E1006" s="103"/>
      <c r="F1006" s="103"/>
      <c r="G1006" s="103"/>
      <c r="H1006" s="103"/>
      <c r="I1006" s="103"/>
      <c r="J1006" s="103"/>
      <c r="K1006" s="103"/>
      <c r="L1006" s="103"/>
      <c r="M1006" s="103"/>
      <c r="N1006" s="103"/>
      <c r="O1006" s="103"/>
      <c r="P1006" s="103"/>
      <c r="Q1006" s="103"/>
      <c r="R1006" s="103"/>
      <c r="S1006" s="103"/>
      <c r="T1006" s="103"/>
      <c r="U1006" s="103"/>
      <c r="V1006" s="103"/>
      <c r="W1006" s="103"/>
      <c r="X1006" s="103"/>
      <c r="Y1006" s="103"/>
      <c r="Z1006" s="103"/>
    </row>
    <row r="1007" ht="12.75" customHeight="1" spans="1:26">
      <c r="A1007" s="103"/>
      <c r="B1007" s="103"/>
      <c r="C1007" s="103"/>
      <c r="D1007" s="103"/>
      <c r="E1007" s="103"/>
      <c r="F1007" s="103"/>
      <c r="G1007" s="103"/>
      <c r="H1007" s="103"/>
      <c r="I1007" s="103"/>
      <c r="J1007" s="103"/>
      <c r="K1007" s="103"/>
      <c r="L1007" s="103"/>
      <c r="M1007" s="103"/>
      <c r="N1007" s="103"/>
      <c r="O1007" s="103"/>
      <c r="P1007" s="103"/>
      <c r="Q1007" s="103"/>
      <c r="R1007" s="103"/>
      <c r="S1007" s="103"/>
      <c r="T1007" s="103"/>
      <c r="U1007" s="103"/>
      <c r="V1007" s="103"/>
      <c r="W1007" s="103"/>
      <c r="X1007" s="103"/>
      <c r="Y1007" s="103"/>
      <c r="Z1007" s="103"/>
    </row>
    <row r="1008" ht="12.75" customHeight="1" spans="1:26">
      <c r="A1008" s="103"/>
      <c r="B1008" s="103"/>
      <c r="C1008" s="103"/>
      <c r="D1008" s="103"/>
      <c r="E1008" s="103"/>
      <c r="F1008" s="103"/>
      <c r="G1008" s="103"/>
      <c r="H1008" s="103"/>
      <c r="I1008" s="103"/>
      <c r="J1008" s="103"/>
      <c r="K1008" s="103"/>
      <c r="L1008" s="103"/>
      <c r="M1008" s="103"/>
      <c r="N1008" s="103"/>
      <c r="O1008" s="103"/>
      <c r="P1008" s="103"/>
      <c r="Q1008" s="103"/>
      <c r="R1008" s="103"/>
      <c r="S1008" s="103"/>
      <c r="T1008" s="103"/>
      <c r="U1008" s="103"/>
      <c r="V1008" s="103"/>
      <c r="W1008" s="103"/>
      <c r="X1008" s="103"/>
      <c r="Y1008" s="103"/>
      <c r="Z1008" s="103"/>
    </row>
  </sheetData>
  <mergeCells count="11">
    <mergeCell ref="B1:H1"/>
    <mergeCell ref="C3:D3"/>
    <mergeCell ref="E3:F3"/>
    <mergeCell ref="G3:H3"/>
    <mergeCell ref="C4:D4"/>
    <mergeCell ref="E4:F4"/>
    <mergeCell ref="G4:H4"/>
    <mergeCell ref="C5:D5"/>
    <mergeCell ref="E5:F5"/>
    <mergeCell ref="G5:H5"/>
    <mergeCell ref="C6:H6"/>
  </mergeCells>
  <hyperlinks>
    <hyperlink ref="C11" location="'Đăng ký ứng viên'!A1" display="Đăng ký ứng viên"/>
    <hyperlink ref="C12" location="'Đăng ký nhà tuyển dụng'!A1" display="Đăng ký nhà tuyển dụng"/>
    <hyperlink ref="C13" location="'Đăng nhập hệ thống'!A1" display="Đăng nhập hệ thống"/>
    <hyperlink ref="C14" location="'Đăng xuất tài khoản'!A1" display="Đăng xuất tài khoản"/>
    <hyperlink ref="C16" location="'Sửa Xóa bài Đăng việc làm'!A1" display="Sửa xóa bài đăng việc làm"/>
    <hyperlink ref="C17" location="'Xem ứng viên ứng tuyển'!A1" display="Xem thông tin ứng viên đã ứng tuyển"/>
    <hyperlink ref="C18" location="'Ứng tuyển công việc'!A1" display="Ứng tuyển công việc"/>
  </hyperlink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998"/>
  <sheetViews>
    <sheetView workbookViewId="0">
      <pane ySplit="9" topLeftCell="A28" activePane="bottomLeft" state="frozen"/>
      <selection/>
      <selection pane="bottomLeft" activeCell="B3" sqref="B3:E3"/>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40</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8</v>
      </c>
      <c r="B5" s="55">
        <f>COUNTIF(F:F,"Fail")</f>
        <v>10</v>
      </c>
      <c r="C5" s="55">
        <f>COUNTIF(F:F,"Untested")</f>
        <v>0</v>
      </c>
      <c r="D5" s="56">
        <f>COUNTIF(F:F,"N/A")</f>
        <v>0</v>
      </c>
      <c r="E5" s="55">
        <f>SUM(A5:D5)</f>
        <v>18</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52</v>
      </c>
      <c r="C9" s="69"/>
      <c r="D9" s="68"/>
      <c r="E9" s="69"/>
      <c r="F9" s="70"/>
      <c r="G9" s="70"/>
      <c r="H9" s="70"/>
      <c r="I9" s="87"/>
      <c r="J9" s="88"/>
      <c r="K9" s="83"/>
      <c r="L9" s="83"/>
      <c r="M9" s="83"/>
      <c r="N9" s="83"/>
      <c r="O9" s="83"/>
      <c r="P9" s="83"/>
      <c r="Q9" s="83"/>
      <c r="R9" s="83"/>
      <c r="S9" s="83"/>
      <c r="T9" s="83"/>
      <c r="U9" s="83"/>
      <c r="V9" s="83"/>
      <c r="W9" s="83"/>
      <c r="X9" s="83"/>
      <c r="Y9" s="83"/>
      <c r="Z9" s="83"/>
    </row>
    <row r="10" ht="132" spans="1:26">
      <c r="A10" s="71" t="str">
        <f>IF(AND(E10=""),"","["&amp;TEXT($B$1,"##")&amp;"-"&amp;TEXT(ROW()-9-COUNTBLANK($E$8:E9)+1,"##")&amp;"]")</f>
        <v>[UC01-1]</v>
      </c>
      <c r="B10" s="72" t="s">
        <v>53</v>
      </c>
      <c r="C10" s="72" t="s">
        <v>54</v>
      </c>
      <c r="D10" s="73" t="s">
        <v>55</v>
      </c>
      <c r="E10" s="72" t="s">
        <v>56</v>
      </c>
      <c r="F10" s="74" t="s">
        <v>20</v>
      </c>
      <c r="G10" s="71" t="s">
        <v>57</v>
      </c>
      <c r="H10" s="74" t="str">
        <f>B3</f>
        <v>Việt</v>
      </c>
      <c r="I10" s="89"/>
      <c r="J10" s="90"/>
      <c r="K10" s="90"/>
      <c r="L10" s="90"/>
      <c r="M10" s="90"/>
      <c r="N10" s="90"/>
      <c r="O10" s="90"/>
      <c r="P10" s="90"/>
      <c r="Q10" s="90"/>
      <c r="R10" s="90"/>
      <c r="S10" s="90"/>
      <c r="T10" s="90"/>
      <c r="U10" s="90"/>
      <c r="V10" s="90"/>
      <c r="W10" s="90"/>
      <c r="X10" s="90"/>
      <c r="Y10" s="90"/>
      <c r="Z10" s="90"/>
    </row>
    <row r="11" ht="26.4" spans="1:26">
      <c r="A11" s="71" t="str">
        <f>IF(AND(E11=""),"","["&amp;TEXT($B$1,"##")&amp;"-"&amp;TEXT(ROW()-9-COUNTBLANK($E$8:E10)+1,"##")&amp;"]")</f>
        <v>[UC01-2]</v>
      </c>
      <c r="B11" s="72" t="s">
        <v>58</v>
      </c>
      <c r="C11" s="72" t="s">
        <v>54</v>
      </c>
      <c r="D11" s="73" t="s">
        <v>55</v>
      </c>
      <c r="E11" s="72" t="s">
        <v>59</v>
      </c>
      <c r="F11" s="74" t="s">
        <v>20</v>
      </c>
      <c r="G11" s="71" t="s">
        <v>57</v>
      </c>
      <c r="H11" s="74" t="str">
        <f>B3</f>
        <v>Việt</v>
      </c>
      <c r="I11" s="89"/>
      <c r="J11" s="90"/>
      <c r="K11" s="90"/>
      <c r="L11" s="90"/>
      <c r="M11" s="90"/>
      <c r="N11" s="90"/>
      <c r="O11" s="90"/>
      <c r="P11" s="90"/>
      <c r="Q11" s="90"/>
      <c r="R11" s="90"/>
      <c r="S11" s="90"/>
      <c r="T11" s="90"/>
      <c r="U11" s="90"/>
      <c r="V11" s="90"/>
      <c r="W11" s="90"/>
      <c r="X11" s="90"/>
      <c r="Y11" s="90"/>
      <c r="Z11" s="90"/>
    </row>
    <row r="12" ht="26.4" spans="1:26">
      <c r="A12" s="71" t="str">
        <f>IF(AND(E12=""),"","["&amp;TEXT($B$1,"##")&amp;"-"&amp;TEXT(ROW()-9-COUNTBLANK($E$8:E11)+1,"##")&amp;"]")</f>
        <v>[UC01-3]</v>
      </c>
      <c r="B12" s="72" t="s">
        <v>60</v>
      </c>
      <c r="C12" s="72" t="s">
        <v>54</v>
      </c>
      <c r="D12" s="73" t="s">
        <v>55</v>
      </c>
      <c r="E12" s="167" t="s">
        <v>61</v>
      </c>
      <c r="F12" s="74" t="s">
        <v>20</v>
      </c>
      <c r="G12" s="71" t="s">
        <v>57</v>
      </c>
      <c r="H12" s="74" t="str">
        <f>B3</f>
        <v>Việt</v>
      </c>
      <c r="I12" s="89"/>
      <c r="J12" s="90"/>
      <c r="K12" s="90"/>
      <c r="L12" s="90"/>
      <c r="M12" s="90"/>
      <c r="N12" s="90"/>
      <c r="O12" s="90"/>
      <c r="P12" s="90"/>
      <c r="Q12" s="90"/>
      <c r="R12" s="90"/>
      <c r="S12" s="90"/>
      <c r="T12" s="90"/>
      <c r="U12" s="90"/>
      <c r="V12" s="90"/>
      <c r="W12" s="90"/>
      <c r="X12" s="90"/>
      <c r="Y12" s="90"/>
      <c r="Z12" s="90"/>
    </row>
    <row r="13" ht="26.4" spans="1:26">
      <c r="A13" s="71" t="str">
        <f>IF(AND(E13=""),"","["&amp;TEXT($B$1,"##")&amp;"-"&amp;TEXT(ROW()-9-COUNTBLANK($E$8:E12)+1,"##")&amp;"]")</f>
        <v>[UC01-4]</v>
      </c>
      <c r="B13" s="72" t="s">
        <v>62</v>
      </c>
      <c r="C13" s="72" t="s">
        <v>54</v>
      </c>
      <c r="D13" s="73" t="s">
        <v>55</v>
      </c>
      <c r="E13" s="72" t="s">
        <v>63</v>
      </c>
      <c r="F13" s="74" t="s">
        <v>20</v>
      </c>
      <c r="G13" s="71" t="s">
        <v>57</v>
      </c>
      <c r="H13" s="74" t="str">
        <f>B3</f>
        <v>Việt</v>
      </c>
      <c r="I13" s="89"/>
      <c r="J13" s="90"/>
      <c r="K13" s="90"/>
      <c r="L13" s="90"/>
      <c r="M13" s="90"/>
      <c r="N13" s="90"/>
      <c r="O13" s="90"/>
      <c r="P13" s="90"/>
      <c r="Q13" s="90"/>
      <c r="R13" s="90"/>
      <c r="S13" s="90"/>
      <c r="T13" s="90"/>
      <c r="U13" s="90"/>
      <c r="V13" s="90"/>
      <c r="W13" s="90"/>
      <c r="X13" s="90"/>
      <c r="Y13" s="90"/>
      <c r="Z13" s="90"/>
    </row>
    <row r="14" ht="26.4" spans="1:26">
      <c r="A14" s="71" t="str">
        <f>IF(AND(E14=""),"","["&amp;TEXT($B$1,"##")&amp;"-"&amp;TEXT(ROW()-9-COUNTBLANK($E$8:E13)+1,"##")&amp;"]")</f>
        <v>[UC01-5]</v>
      </c>
      <c r="B14" s="72" t="s">
        <v>64</v>
      </c>
      <c r="C14" s="72" t="s">
        <v>54</v>
      </c>
      <c r="D14" s="73" t="s">
        <v>55</v>
      </c>
      <c r="E14" s="72" t="s">
        <v>65</v>
      </c>
      <c r="F14" s="74" t="s">
        <v>20</v>
      </c>
      <c r="G14" s="71" t="s">
        <v>57</v>
      </c>
      <c r="H14" s="74" t="str">
        <f>B3</f>
        <v>Việt</v>
      </c>
      <c r="I14" s="89"/>
      <c r="J14" s="90"/>
      <c r="K14" s="90"/>
      <c r="L14" s="90"/>
      <c r="M14" s="90"/>
      <c r="N14" s="90"/>
      <c r="O14" s="90"/>
      <c r="P14" s="90"/>
      <c r="Q14" s="90"/>
      <c r="R14" s="90"/>
      <c r="S14" s="90"/>
      <c r="T14" s="90"/>
      <c r="U14" s="90"/>
      <c r="V14" s="90"/>
      <c r="W14" s="90"/>
      <c r="X14" s="90"/>
      <c r="Y14" s="90"/>
      <c r="Z14" s="90"/>
    </row>
    <row r="15" ht="14.25" customHeight="1" spans="1:26">
      <c r="A15" s="68"/>
      <c r="B15" s="68" t="s">
        <v>66</v>
      </c>
      <c r="C15" s="69"/>
      <c r="D15" s="68"/>
      <c r="E15" s="69"/>
      <c r="F15" s="70"/>
      <c r="G15" s="70"/>
      <c r="H15" s="70"/>
      <c r="I15" s="87"/>
      <c r="J15" s="88"/>
      <c r="K15" s="83"/>
      <c r="L15" s="83"/>
      <c r="M15" s="83"/>
      <c r="N15" s="83"/>
      <c r="O15" s="83"/>
      <c r="P15" s="83"/>
      <c r="Q15" s="83"/>
      <c r="R15" s="83"/>
      <c r="S15" s="83"/>
      <c r="T15" s="83"/>
      <c r="U15" s="83"/>
      <c r="V15" s="83"/>
      <c r="W15" s="83"/>
      <c r="X15" s="83"/>
      <c r="Y15" s="83"/>
      <c r="Z15" s="83"/>
    </row>
    <row r="16" ht="79.2" spans="1:26">
      <c r="A16" s="71" t="str">
        <f>IF(AND(E16=""),"","["&amp;TEXT($B$1,"##")&amp;"-"&amp;TEXT(ROW()-9-COUNTBLANK($E$8:E15)+1,"##")&amp;"]")</f>
        <v>[UC01-6]</v>
      </c>
      <c r="B16" s="72" t="s">
        <v>67</v>
      </c>
      <c r="C16" s="72" t="s">
        <v>54</v>
      </c>
      <c r="D16" s="73" t="s">
        <v>68</v>
      </c>
      <c r="E16" s="167" t="s">
        <v>69</v>
      </c>
      <c r="F16" s="74" t="s">
        <v>20</v>
      </c>
      <c r="G16" s="71" t="s">
        <v>57</v>
      </c>
      <c r="H16" s="74" t="str">
        <f>B3</f>
        <v>Việt</v>
      </c>
      <c r="I16" s="89"/>
      <c r="J16" s="90"/>
      <c r="K16" s="90"/>
      <c r="L16" s="90"/>
      <c r="M16" s="90"/>
      <c r="N16" s="90"/>
      <c r="O16" s="90"/>
      <c r="P16" s="90"/>
      <c r="Q16" s="90"/>
      <c r="R16" s="90"/>
      <c r="S16" s="90"/>
      <c r="T16" s="90"/>
      <c r="U16" s="90"/>
      <c r="V16" s="90"/>
      <c r="W16" s="90"/>
      <c r="X16" s="90"/>
      <c r="Y16" s="90"/>
      <c r="Z16" s="90"/>
    </row>
    <row r="17" ht="132" spans="1:26">
      <c r="A17" s="71" t="str">
        <f>IF(AND(E17=""),"","["&amp;TEXT($B$1,"##")&amp;"-"&amp;TEXT(ROW()-9-COUNTBLANK($E$8:E16)+1,"##")&amp;"]")</f>
        <v>[UC01-7]</v>
      </c>
      <c r="B17" s="72" t="s">
        <v>70</v>
      </c>
      <c r="C17" s="72" t="s">
        <v>54</v>
      </c>
      <c r="D17" s="73" t="s">
        <v>71</v>
      </c>
      <c r="E17" s="167" t="s">
        <v>72</v>
      </c>
      <c r="F17" s="74" t="s">
        <v>21</v>
      </c>
      <c r="G17" s="71" t="s">
        <v>57</v>
      </c>
      <c r="H17" s="74" t="str">
        <f>B3</f>
        <v>Việt</v>
      </c>
      <c r="I17" s="89" t="s">
        <v>73</v>
      </c>
      <c r="J17" s="90"/>
      <c r="K17" s="90"/>
      <c r="L17" s="90"/>
      <c r="M17" s="90"/>
      <c r="N17" s="90"/>
      <c r="O17" s="90"/>
      <c r="P17" s="90"/>
      <c r="Q17" s="90"/>
      <c r="R17" s="90"/>
      <c r="S17" s="90"/>
      <c r="T17" s="90"/>
      <c r="U17" s="90"/>
      <c r="V17" s="90"/>
      <c r="W17" s="90"/>
      <c r="X17" s="90"/>
      <c r="Y17" s="90"/>
      <c r="Z17" s="90"/>
    </row>
    <row r="18" ht="105.6" spans="1:26">
      <c r="A18" s="71" t="str">
        <f>IF(AND(E18=""),"","["&amp;TEXT($B$1,"##")&amp;"-"&amp;TEXT(ROW()-9-COUNTBLANK($E$8:E16)+1,"##")&amp;"]")</f>
        <v>[UC01-8]</v>
      </c>
      <c r="B18" s="72" t="s">
        <v>74</v>
      </c>
      <c r="C18" s="72" t="s">
        <v>54</v>
      </c>
      <c r="D18" s="73" t="s">
        <v>75</v>
      </c>
      <c r="E18" s="72" t="s">
        <v>76</v>
      </c>
      <c r="F18" s="74" t="s">
        <v>21</v>
      </c>
      <c r="G18" s="71" t="s">
        <v>77</v>
      </c>
      <c r="H18" s="74" t="str">
        <f>B3</f>
        <v>Việt</v>
      </c>
      <c r="I18" s="89" t="s">
        <v>78</v>
      </c>
      <c r="J18" s="90"/>
      <c r="K18" s="90"/>
      <c r="L18" s="90"/>
      <c r="M18" s="90"/>
      <c r="N18" s="90"/>
      <c r="O18" s="90"/>
      <c r="P18" s="90"/>
      <c r="Q18" s="90"/>
      <c r="R18" s="90"/>
      <c r="S18" s="90"/>
      <c r="T18" s="90"/>
      <c r="U18" s="90"/>
      <c r="V18" s="90"/>
      <c r="W18" s="90"/>
      <c r="X18" s="90"/>
      <c r="Y18" s="90"/>
      <c r="Z18" s="90"/>
    </row>
    <row r="19" ht="105.6" spans="1:26">
      <c r="A19" s="71" t="str">
        <f>IF(AND(E19=""),"","["&amp;TEXT($B$1,"##")&amp;"-"&amp;TEXT(ROW()-9-COUNTBLANK($E$8:E18)+1,"##")&amp;"]")</f>
        <v>[UC01-9]</v>
      </c>
      <c r="B19" s="72" t="s">
        <v>79</v>
      </c>
      <c r="C19" s="72" t="s">
        <v>54</v>
      </c>
      <c r="D19" s="73" t="s">
        <v>80</v>
      </c>
      <c r="E19" s="72" t="s">
        <v>81</v>
      </c>
      <c r="F19" s="74" t="s">
        <v>21</v>
      </c>
      <c r="G19" s="71" t="s">
        <v>77</v>
      </c>
      <c r="H19" s="74" t="str">
        <f>B3</f>
        <v>Việt</v>
      </c>
      <c r="I19" s="89" t="s">
        <v>78</v>
      </c>
      <c r="J19" s="90"/>
      <c r="K19" s="90"/>
      <c r="L19" s="90"/>
      <c r="M19" s="90"/>
      <c r="N19" s="90"/>
      <c r="O19" s="90"/>
      <c r="P19" s="90"/>
      <c r="Q19" s="90"/>
      <c r="R19" s="90"/>
      <c r="S19" s="90"/>
      <c r="T19" s="90"/>
      <c r="U19" s="90"/>
      <c r="V19" s="90"/>
      <c r="W19" s="90"/>
      <c r="X19" s="90"/>
      <c r="Y19" s="90"/>
      <c r="Z19" s="90"/>
    </row>
    <row r="20" ht="66" spans="1:26">
      <c r="A20" s="71" t="str">
        <f>IF(AND(E20=""),"","["&amp;TEXT($B$1,"##")&amp;"-"&amp;TEXT(ROW()-9-COUNTBLANK($E$8:E19)+1,"##")&amp;"]")</f>
        <v>[UC01-10]</v>
      </c>
      <c r="B20" s="72" t="s">
        <v>82</v>
      </c>
      <c r="C20" s="72" t="s">
        <v>54</v>
      </c>
      <c r="D20" s="73" t="s">
        <v>83</v>
      </c>
      <c r="E20" s="72" t="s">
        <v>84</v>
      </c>
      <c r="F20" s="74" t="s">
        <v>20</v>
      </c>
      <c r="G20" s="71" t="s">
        <v>57</v>
      </c>
      <c r="H20" s="74" t="str">
        <f>B3</f>
        <v>Việt</v>
      </c>
      <c r="I20" s="89"/>
      <c r="J20" s="90"/>
      <c r="K20" s="90"/>
      <c r="L20" s="90"/>
      <c r="M20" s="90"/>
      <c r="N20" s="90"/>
      <c r="O20" s="90"/>
      <c r="P20" s="90"/>
      <c r="Q20" s="90"/>
      <c r="R20" s="90"/>
      <c r="S20" s="90"/>
      <c r="T20" s="90"/>
      <c r="U20" s="90"/>
      <c r="V20" s="90"/>
      <c r="W20" s="90"/>
      <c r="X20" s="90"/>
      <c r="Y20" s="90"/>
      <c r="Z20" s="90"/>
    </row>
    <row r="21" ht="105.6" spans="1:26">
      <c r="A21" s="71" t="str">
        <f>IF(AND(E21=""),"","["&amp;TEXT($B$1,"##")&amp;"-"&amp;TEXT(ROW()-9-COUNTBLANK($E$8:E20)+1,"##")&amp;"]")</f>
        <v>[UC01-11]</v>
      </c>
      <c r="B21" s="72" t="s">
        <v>85</v>
      </c>
      <c r="C21" s="72" t="s">
        <v>54</v>
      </c>
      <c r="D21" s="73" t="s">
        <v>86</v>
      </c>
      <c r="E21" s="72" t="s">
        <v>81</v>
      </c>
      <c r="F21" s="77" t="s">
        <v>21</v>
      </c>
      <c r="G21" s="71" t="s">
        <v>77</v>
      </c>
      <c r="H21" s="74" t="str">
        <f>B3</f>
        <v>Việt</v>
      </c>
      <c r="I21" s="89" t="s">
        <v>78</v>
      </c>
      <c r="J21" s="90"/>
      <c r="K21" s="90"/>
      <c r="L21" s="90"/>
      <c r="M21" s="90"/>
      <c r="N21" s="90"/>
      <c r="O21" s="90"/>
      <c r="P21" s="90"/>
      <c r="Q21" s="90"/>
      <c r="R21" s="90"/>
      <c r="S21" s="90"/>
      <c r="T21" s="90"/>
      <c r="U21" s="90"/>
      <c r="V21" s="90"/>
      <c r="W21" s="90"/>
      <c r="X21" s="90"/>
      <c r="Y21" s="90"/>
      <c r="Z21" s="90"/>
    </row>
    <row r="22" ht="118.8" spans="1:26">
      <c r="A22" s="71" t="str">
        <f>IF(AND(E22=""),"","["&amp;TEXT($B$1,"##")&amp;"-"&amp;TEXT(ROW()-9-COUNTBLANK($E$8:E21)+1,"##")&amp;"]")</f>
        <v>[UC01-12]</v>
      </c>
      <c r="B22" s="72" t="s">
        <v>87</v>
      </c>
      <c r="C22" s="72" t="s">
        <v>54</v>
      </c>
      <c r="D22" s="73" t="s">
        <v>88</v>
      </c>
      <c r="E22" s="72" t="s">
        <v>84</v>
      </c>
      <c r="F22" s="77" t="s">
        <v>21</v>
      </c>
      <c r="G22" s="71" t="s">
        <v>57</v>
      </c>
      <c r="H22" s="74" t="str">
        <f>B3</f>
        <v>Việt</v>
      </c>
      <c r="I22" s="91" t="s">
        <v>89</v>
      </c>
      <c r="J22" s="90"/>
      <c r="K22" s="90"/>
      <c r="L22" s="90"/>
      <c r="M22" s="90"/>
      <c r="N22" s="90"/>
      <c r="O22" s="90"/>
      <c r="P22" s="90"/>
      <c r="Q22" s="90"/>
      <c r="R22" s="90"/>
      <c r="S22" s="90"/>
      <c r="T22" s="90"/>
      <c r="U22" s="90"/>
      <c r="V22" s="90"/>
      <c r="W22" s="90"/>
      <c r="X22" s="90"/>
      <c r="Y22" s="90"/>
      <c r="Z22" s="90"/>
    </row>
    <row r="23" ht="171.6" spans="1:26">
      <c r="A23" s="75" t="str">
        <f>IF(AND(E23=""),"","["&amp;TEXT($B$1,"##")&amp;"-"&amp;TEXT(ROW()-9-COUNTBLANK($E$8:E22)+1,"##")&amp;"]")</f>
        <v>[UC01-13]</v>
      </c>
      <c r="B23" s="76" t="s">
        <v>90</v>
      </c>
      <c r="C23" s="76" t="s">
        <v>54</v>
      </c>
      <c r="D23" s="73" t="s">
        <v>91</v>
      </c>
      <c r="E23" s="76" t="s">
        <v>92</v>
      </c>
      <c r="F23" s="77" t="s">
        <v>21</v>
      </c>
      <c r="G23" s="71" t="s">
        <v>57</v>
      </c>
      <c r="H23" s="77" t="str">
        <f>B3</f>
        <v>Việt</v>
      </c>
      <c r="I23" s="91" t="s">
        <v>93</v>
      </c>
      <c r="J23" s="92"/>
      <c r="K23" s="92"/>
      <c r="L23" s="92"/>
      <c r="M23" s="92"/>
      <c r="N23" s="92"/>
      <c r="O23" s="92"/>
      <c r="P23" s="92"/>
      <c r="Q23" s="92"/>
      <c r="R23" s="92"/>
      <c r="S23" s="92"/>
      <c r="T23" s="92"/>
      <c r="U23" s="92"/>
      <c r="V23" s="92"/>
      <c r="W23" s="92"/>
      <c r="X23" s="92"/>
      <c r="Y23" s="92"/>
      <c r="Z23" s="92"/>
    </row>
    <row r="24" ht="118.8" spans="1:26">
      <c r="A24" s="71" t="str">
        <f>IF(AND(E24=""),"","["&amp;TEXT($B$1,"##")&amp;"-"&amp;TEXT(ROW()-9-COUNTBLANK($E$8:E23)+1,"##")&amp;"]")</f>
        <v>[UC01-14]</v>
      </c>
      <c r="B24" s="72" t="s">
        <v>94</v>
      </c>
      <c r="C24" s="72" t="s">
        <v>54</v>
      </c>
      <c r="D24" s="73" t="s">
        <v>95</v>
      </c>
      <c r="E24" s="72" t="s">
        <v>96</v>
      </c>
      <c r="F24" s="77" t="s">
        <v>21</v>
      </c>
      <c r="G24" s="71" t="s">
        <v>57</v>
      </c>
      <c r="H24" s="74" t="str">
        <f>B3</f>
        <v>Việt</v>
      </c>
      <c r="I24" s="91" t="s">
        <v>89</v>
      </c>
      <c r="J24" s="90"/>
      <c r="K24" s="90"/>
      <c r="L24" s="90"/>
      <c r="M24" s="90"/>
      <c r="N24" s="90"/>
      <c r="O24" s="90"/>
      <c r="P24" s="90"/>
      <c r="Q24" s="90"/>
      <c r="R24" s="90"/>
      <c r="S24" s="90"/>
      <c r="T24" s="90"/>
      <c r="U24" s="90"/>
      <c r="V24" s="90"/>
      <c r="W24" s="90"/>
      <c r="X24" s="90"/>
      <c r="Y24" s="90"/>
      <c r="Z24" s="90"/>
    </row>
    <row r="25" ht="118.8" spans="1:26">
      <c r="A25" s="71" t="str">
        <f>IF(AND(E25=""),"","["&amp;TEXT($B$1,"##")&amp;"-"&amp;TEXT(ROW()-9-COUNTBLANK($E$8:E24)+1,"##")&amp;"]")</f>
        <v>[UC01-15]</v>
      </c>
      <c r="B25" s="72" t="s">
        <v>97</v>
      </c>
      <c r="C25" s="72" t="s">
        <v>54</v>
      </c>
      <c r="D25" s="73" t="s">
        <v>98</v>
      </c>
      <c r="E25" s="72" t="s">
        <v>92</v>
      </c>
      <c r="F25" s="77" t="s">
        <v>21</v>
      </c>
      <c r="G25" s="71" t="s">
        <v>57</v>
      </c>
      <c r="H25" s="74" t="str">
        <f>B3</f>
        <v>Việt</v>
      </c>
      <c r="I25" s="91" t="s">
        <v>89</v>
      </c>
      <c r="J25" s="90"/>
      <c r="K25" s="90"/>
      <c r="L25" s="90"/>
      <c r="M25" s="90"/>
      <c r="N25" s="90"/>
      <c r="O25" s="90"/>
      <c r="P25" s="90"/>
      <c r="Q25" s="90"/>
      <c r="R25" s="90"/>
      <c r="S25" s="90"/>
      <c r="T25" s="90"/>
      <c r="U25" s="90"/>
      <c r="V25" s="90"/>
      <c r="W25" s="90"/>
      <c r="X25" s="90"/>
      <c r="Y25" s="90"/>
      <c r="Z25" s="90"/>
    </row>
    <row r="26" ht="118.8" spans="1:26">
      <c r="A26" s="71" t="str">
        <f>IF(AND(E26=""),"","["&amp;TEXT($B$1,"##")&amp;"-"&amp;TEXT(ROW()-9-COUNTBLANK($E$8:E25)+1,"##")&amp;"]")</f>
        <v>[UC01-16]</v>
      </c>
      <c r="B26" s="72" t="s">
        <v>99</v>
      </c>
      <c r="C26" s="72" t="s">
        <v>54</v>
      </c>
      <c r="D26" s="73" t="s">
        <v>100</v>
      </c>
      <c r="E26" s="72" t="s">
        <v>92</v>
      </c>
      <c r="F26" s="77" t="s">
        <v>21</v>
      </c>
      <c r="G26" s="71" t="s">
        <v>57</v>
      </c>
      <c r="H26" s="74" t="str">
        <f>B3</f>
        <v>Việt</v>
      </c>
      <c r="I26" s="91" t="s">
        <v>89</v>
      </c>
      <c r="J26" s="90"/>
      <c r="K26" s="90"/>
      <c r="L26" s="90"/>
      <c r="M26" s="90"/>
      <c r="N26" s="90"/>
      <c r="O26" s="90"/>
      <c r="P26" s="90"/>
      <c r="Q26" s="90"/>
      <c r="R26" s="90"/>
      <c r="S26" s="90"/>
      <c r="T26" s="90"/>
      <c r="U26" s="90"/>
      <c r="V26" s="90"/>
      <c r="W26" s="90"/>
      <c r="X26" s="90"/>
      <c r="Y26" s="90"/>
      <c r="Z26" s="90"/>
    </row>
    <row r="27" ht="118.8" spans="1:26">
      <c r="A27" s="71" t="str">
        <f>IF(AND(E27=""),"","["&amp;TEXT($B$1,"##")&amp;"-"&amp;TEXT(ROW()-9-COUNTBLANK($E$8:E26)+1,"##")&amp;"]")</f>
        <v>[UC01-17]</v>
      </c>
      <c r="B27" s="72" t="s">
        <v>101</v>
      </c>
      <c r="C27" s="72" t="s">
        <v>54</v>
      </c>
      <c r="D27" s="73" t="s">
        <v>102</v>
      </c>
      <c r="E27" s="72" t="s">
        <v>92</v>
      </c>
      <c r="F27" s="77" t="s">
        <v>21</v>
      </c>
      <c r="G27" s="71" t="s">
        <v>57</v>
      </c>
      <c r="H27" s="74" t="str">
        <f>B3</f>
        <v>Việt</v>
      </c>
      <c r="I27" s="91" t="s">
        <v>89</v>
      </c>
      <c r="J27" s="90"/>
      <c r="K27" s="90"/>
      <c r="L27" s="90"/>
      <c r="M27" s="90"/>
      <c r="N27" s="90"/>
      <c r="O27" s="90"/>
      <c r="P27" s="90"/>
      <c r="Q27" s="90"/>
      <c r="R27" s="90"/>
      <c r="S27" s="90"/>
      <c r="T27" s="90"/>
      <c r="U27" s="90"/>
      <c r="V27" s="90"/>
      <c r="W27" s="90"/>
      <c r="X27" s="90"/>
      <c r="Y27" s="90"/>
      <c r="Z27" s="90"/>
    </row>
    <row r="28" ht="52.8" spans="1:26">
      <c r="A28" s="71" t="str">
        <f>IF(AND(E28=""),"","["&amp;TEXT($B$1,"##")&amp;"-"&amp;TEXT(ROW()-9-COUNTBLANK($E$8:E27)+1,"##")&amp;"]")</f>
        <v>[UC01-18]</v>
      </c>
      <c r="B28" s="72" t="s">
        <v>103</v>
      </c>
      <c r="C28" s="72" t="s">
        <v>54</v>
      </c>
      <c r="D28" s="73" t="s">
        <v>104</v>
      </c>
      <c r="E28" s="72" t="s">
        <v>105</v>
      </c>
      <c r="F28" s="77" t="s">
        <v>20</v>
      </c>
      <c r="G28" s="71" t="s">
        <v>57</v>
      </c>
      <c r="H28" s="74" t="str">
        <f>B3</f>
        <v>Việt</v>
      </c>
      <c r="I28" s="91"/>
      <c r="J28" s="90"/>
      <c r="K28" s="90"/>
      <c r="L28" s="90"/>
      <c r="M28" s="90"/>
      <c r="N28" s="90"/>
      <c r="O28" s="90"/>
      <c r="P28" s="90"/>
      <c r="Q28" s="90"/>
      <c r="R28" s="90"/>
      <c r="S28" s="90"/>
      <c r="T28" s="90"/>
      <c r="U28" s="90"/>
      <c r="V28" s="90"/>
      <c r="W28" s="90"/>
      <c r="X28" s="90"/>
      <c r="Y28" s="90"/>
      <c r="Z28" s="90"/>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4.25" customHeight="1" spans="2:9">
      <c r="B221" s="78"/>
      <c r="C221" s="79"/>
      <c r="E221" s="4"/>
      <c r="F221" s="80"/>
      <c r="G221" s="81"/>
      <c r="H221" s="81"/>
      <c r="I221" s="93"/>
    </row>
    <row r="222" ht="14.25" customHeight="1" spans="2:9">
      <c r="B222" s="78"/>
      <c r="C222" s="79"/>
      <c r="E222" s="4"/>
      <c r="F222" s="80"/>
      <c r="G222" s="81"/>
      <c r="H222" s="81"/>
      <c r="I222" s="93"/>
    </row>
    <row r="223" ht="14.25" customHeight="1" spans="2:9">
      <c r="B223" s="78"/>
      <c r="C223" s="79"/>
      <c r="E223" s="4"/>
      <c r="F223" s="80"/>
      <c r="G223" s="81"/>
      <c r="H223" s="81"/>
      <c r="I223" s="93"/>
    </row>
    <row r="224" ht="14.25" customHeight="1" spans="2:9">
      <c r="B224" s="78"/>
      <c r="C224" s="79"/>
      <c r="E224" s="4"/>
      <c r="F224" s="80"/>
      <c r="G224" s="81"/>
      <c r="H224" s="81"/>
      <c r="I224" s="93"/>
    </row>
    <row r="225" ht="14.25" customHeight="1" spans="2:9">
      <c r="B225" s="78"/>
      <c r="C225" s="79"/>
      <c r="E225" s="4"/>
      <c r="F225" s="80"/>
      <c r="G225" s="81"/>
      <c r="H225" s="81"/>
      <c r="I225" s="93"/>
    </row>
    <row r="226" ht="14.25" customHeight="1" spans="2:9">
      <c r="B226" s="78"/>
      <c r="C226" s="79"/>
      <c r="E226" s="4"/>
      <c r="F226" s="80"/>
      <c r="G226" s="81"/>
      <c r="H226" s="81"/>
      <c r="I226" s="93"/>
    </row>
    <row r="227" ht="14.25" customHeight="1" spans="2:9">
      <c r="B227" s="78"/>
      <c r="C227" s="79"/>
      <c r="E227" s="4"/>
      <c r="F227" s="80"/>
      <c r="G227" s="81"/>
      <c r="H227" s="81"/>
      <c r="I227" s="93"/>
    </row>
    <row r="228" ht="14.25" customHeight="1" spans="2:9">
      <c r="B228" s="78"/>
      <c r="C228" s="79"/>
      <c r="E228" s="4"/>
      <c r="F228" s="80"/>
      <c r="G228" s="81"/>
      <c r="H228" s="81"/>
      <c r="I228" s="93"/>
    </row>
    <row r="229" ht="14.25" customHeight="1" spans="2:9">
      <c r="B229" s="78"/>
      <c r="C229" s="79"/>
      <c r="E229" s="4"/>
      <c r="F229" s="80"/>
      <c r="G229" s="81"/>
      <c r="H229" s="81"/>
      <c r="I229" s="93"/>
    </row>
    <row r="230" ht="14.25" customHeight="1" spans="2:9">
      <c r="B230" s="78"/>
      <c r="C230" s="79"/>
      <c r="E230" s="4"/>
      <c r="F230" s="80"/>
      <c r="G230" s="81"/>
      <c r="H230" s="81"/>
      <c r="I230" s="93"/>
    </row>
    <row r="231" ht="14.25" customHeight="1" spans="2:9">
      <c r="B231" s="78"/>
      <c r="C231" s="79"/>
      <c r="E231" s="4"/>
      <c r="F231" s="80"/>
      <c r="G231" s="81"/>
      <c r="H231" s="81"/>
      <c r="I231" s="93"/>
    </row>
    <row r="232" ht="14.25" customHeight="1" spans="2:9">
      <c r="B232" s="78"/>
      <c r="C232" s="79"/>
      <c r="E232" s="4"/>
      <c r="F232" s="80"/>
      <c r="G232" s="81"/>
      <c r="H232" s="81"/>
      <c r="I232" s="93"/>
    </row>
    <row r="233" ht="14.25" customHeight="1" spans="2:9">
      <c r="B233" s="78"/>
      <c r="C233" s="79"/>
      <c r="E233" s="4"/>
      <c r="F233" s="80"/>
      <c r="G233" s="81"/>
      <c r="H233" s="81"/>
      <c r="I233" s="93"/>
    </row>
    <row r="234" ht="14.25" customHeight="1" spans="2:9">
      <c r="B234" s="78"/>
      <c r="C234" s="79"/>
      <c r="E234" s="4"/>
      <c r="F234" s="80"/>
      <c r="G234" s="81"/>
      <c r="H234" s="81"/>
      <c r="I234" s="93"/>
    </row>
    <row r="235" ht="14.25" customHeight="1" spans="2:9">
      <c r="B235" s="78"/>
      <c r="C235" s="79"/>
      <c r="E235" s="4"/>
      <c r="F235" s="80"/>
      <c r="G235" s="81"/>
      <c r="H235" s="81"/>
      <c r="I235" s="93"/>
    </row>
    <row r="236" ht="14.25" customHeight="1" spans="2:9">
      <c r="B236" s="78"/>
      <c r="C236" s="79"/>
      <c r="E236" s="4"/>
      <c r="F236" s="80"/>
      <c r="G236" s="81"/>
      <c r="H236" s="81"/>
      <c r="I236" s="93"/>
    </row>
    <row r="237" ht="14.25" customHeight="1" spans="2:9">
      <c r="B237" s="78"/>
      <c r="C237" s="79"/>
      <c r="E237" s="4"/>
      <c r="F237" s="80"/>
      <c r="G237" s="81"/>
      <c r="H237" s="81"/>
      <c r="I237" s="93"/>
    </row>
    <row r="238" ht="14.25" customHeight="1" spans="2:9">
      <c r="B238" s="78"/>
      <c r="C238" s="79"/>
      <c r="E238" s="4"/>
      <c r="F238" s="80"/>
      <c r="G238" s="81"/>
      <c r="H238" s="81"/>
      <c r="I238" s="93"/>
    </row>
    <row r="239" ht="14.25" customHeight="1" spans="2:9">
      <c r="B239" s="78"/>
      <c r="C239" s="79"/>
      <c r="E239" s="4"/>
      <c r="F239" s="80"/>
      <c r="G239" s="81"/>
      <c r="H239" s="81"/>
      <c r="I239" s="93"/>
    </row>
    <row r="240" ht="14.25" customHeight="1" spans="2:9">
      <c r="B240" s="78"/>
      <c r="C240" s="79"/>
      <c r="E240" s="4"/>
      <c r="F240" s="80"/>
      <c r="G240" s="81"/>
      <c r="H240" s="81"/>
      <c r="I240" s="93"/>
    </row>
    <row r="241" ht="14.25" customHeight="1" spans="2:9">
      <c r="B241" s="78"/>
      <c r="C241" s="79"/>
      <c r="E241" s="4"/>
      <c r="F241" s="80"/>
      <c r="G241" s="81"/>
      <c r="H241" s="81"/>
      <c r="I241" s="93"/>
    </row>
    <row r="242" ht="14.25" customHeight="1" spans="2:9">
      <c r="B242" s="78"/>
      <c r="C242" s="79"/>
      <c r="E242" s="4"/>
      <c r="F242" s="80"/>
      <c r="G242" s="81"/>
      <c r="H242" s="81"/>
      <c r="I242" s="93"/>
    </row>
    <row r="243" ht="14.25" customHeight="1" spans="2:9">
      <c r="B243" s="78"/>
      <c r="C243" s="79"/>
      <c r="E243" s="4"/>
      <c r="F243" s="80"/>
      <c r="G243" s="81"/>
      <c r="H243" s="81"/>
      <c r="I243" s="93"/>
    </row>
    <row r="244" ht="14.25" customHeight="1" spans="2:9">
      <c r="B244" s="78"/>
      <c r="C244" s="79"/>
      <c r="E244" s="4"/>
      <c r="F244" s="80"/>
      <c r="G244" s="81"/>
      <c r="H244" s="81"/>
      <c r="I244" s="93"/>
    </row>
    <row r="245" ht="14.25" customHeight="1" spans="2:9">
      <c r="B245" s="78"/>
      <c r="C245" s="79"/>
      <c r="E245" s="4"/>
      <c r="F245" s="80"/>
      <c r="G245" s="81"/>
      <c r="H245" s="81"/>
      <c r="I245" s="93"/>
    </row>
    <row r="246" ht="14.25" customHeight="1" spans="2:9">
      <c r="B246" s="78"/>
      <c r="C246" s="79"/>
      <c r="E246" s="4"/>
      <c r="F246" s="80"/>
      <c r="G246" s="81"/>
      <c r="H246" s="81"/>
      <c r="I246" s="93"/>
    </row>
    <row r="247" ht="14.25" customHeight="1" spans="2:9">
      <c r="B247" s="78"/>
      <c r="C247" s="79"/>
      <c r="E247" s="4"/>
      <c r="F247" s="80"/>
      <c r="G247" s="81"/>
      <c r="H247" s="81"/>
      <c r="I247" s="93"/>
    </row>
    <row r="248" ht="14.25" customHeight="1" spans="2:9">
      <c r="B248" s="78"/>
      <c r="C248" s="79"/>
      <c r="E248" s="4"/>
      <c r="F248" s="80"/>
      <c r="G248" s="81"/>
      <c r="H248" s="81"/>
      <c r="I248" s="93"/>
    </row>
    <row r="249" ht="14.25" customHeight="1" spans="2:9">
      <c r="B249" s="78"/>
      <c r="C249" s="79"/>
      <c r="E249" s="4"/>
      <c r="F249" s="80"/>
      <c r="G249" s="81"/>
      <c r="H249" s="81"/>
      <c r="I249" s="93"/>
    </row>
    <row r="250" ht="14.25" customHeight="1" spans="2:9">
      <c r="B250" s="78"/>
      <c r="C250" s="79"/>
      <c r="E250" s="4"/>
      <c r="F250" s="80"/>
      <c r="G250" s="81"/>
      <c r="H250" s="81"/>
      <c r="I250" s="93"/>
    </row>
    <row r="251" ht="14.25" customHeight="1" spans="2:9">
      <c r="B251" s="78"/>
      <c r="C251" s="79"/>
      <c r="E251" s="4"/>
      <c r="F251" s="80"/>
      <c r="G251" s="81"/>
      <c r="H251" s="81"/>
      <c r="I251" s="93"/>
    </row>
    <row r="252" ht="14.25" customHeight="1" spans="2:9">
      <c r="B252" s="78"/>
      <c r="C252" s="79"/>
      <c r="E252" s="4"/>
      <c r="F252" s="80"/>
      <c r="G252" s="81"/>
      <c r="H252" s="81"/>
      <c r="I252" s="93"/>
    </row>
    <row r="253" ht="14.25" customHeight="1" spans="2:9">
      <c r="B253" s="78"/>
      <c r="C253" s="79"/>
      <c r="E253" s="4"/>
      <c r="F253" s="80"/>
      <c r="G253" s="81"/>
      <c r="H253" s="81"/>
      <c r="I253" s="93"/>
    </row>
    <row r="254" ht="14.25" customHeight="1" spans="2:9">
      <c r="B254" s="78"/>
      <c r="C254" s="79"/>
      <c r="E254" s="4"/>
      <c r="F254" s="80"/>
      <c r="G254" s="81"/>
      <c r="H254" s="81"/>
      <c r="I254" s="93"/>
    </row>
    <row r="255" ht="14.25" customHeight="1" spans="2:9">
      <c r="B255" s="78"/>
      <c r="C255" s="79"/>
      <c r="E255" s="4"/>
      <c r="F255" s="80"/>
      <c r="G255" s="81"/>
      <c r="H255" s="81"/>
      <c r="I255" s="93"/>
    </row>
    <row r="256" ht="14.25" customHeight="1" spans="2:9">
      <c r="B256" s="78"/>
      <c r="C256" s="79"/>
      <c r="E256" s="4"/>
      <c r="F256" s="80"/>
      <c r="G256" s="81"/>
      <c r="H256" s="81"/>
      <c r="I256" s="93"/>
    </row>
    <row r="257" ht="14.25" customHeight="1" spans="2:9">
      <c r="B257" s="78"/>
      <c r="C257" s="79"/>
      <c r="E257" s="4"/>
      <c r="F257" s="80"/>
      <c r="G257" s="81"/>
      <c r="H257" s="81"/>
      <c r="I257" s="93"/>
    </row>
    <row r="258" ht="14.25" customHeight="1" spans="2:9">
      <c r="B258" s="78"/>
      <c r="C258" s="79"/>
      <c r="E258" s="4"/>
      <c r="F258" s="80"/>
      <c r="G258" s="81"/>
      <c r="H258" s="81"/>
      <c r="I258" s="93"/>
    </row>
    <row r="259" ht="14.25" customHeight="1" spans="2:9">
      <c r="B259" s="78"/>
      <c r="C259" s="79"/>
      <c r="E259" s="4"/>
      <c r="F259" s="80"/>
      <c r="G259" s="81"/>
      <c r="H259" s="81"/>
      <c r="I259" s="93"/>
    </row>
    <row r="260" ht="14.25" customHeight="1" spans="2:9">
      <c r="B260" s="78"/>
      <c r="C260" s="79"/>
      <c r="E260" s="4"/>
      <c r="F260" s="80"/>
      <c r="G260" s="81"/>
      <c r="H260" s="81"/>
      <c r="I260" s="93"/>
    </row>
    <row r="261" ht="14.25" customHeight="1" spans="2:9">
      <c r="B261" s="78"/>
      <c r="C261" s="79"/>
      <c r="E261" s="4"/>
      <c r="F261" s="80"/>
      <c r="G261" s="81"/>
      <c r="H261" s="81"/>
      <c r="I261" s="93"/>
    </row>
    <row r="262" ht="14.25" customHeight="1" spans="2:9">
      <c r="B262" s="78"/>
      <c r="C262" s="79"/>
      <c r="E262" s="4"/>
      <c r="F262" s="80"/>
      <c r="G262" s="81"/>
      <c r="H262" s="81"/>
      <c r="I262" s="93"/>
    </row>
    <row r="263" ht="14.25" customHeight="1" spans="2:9">
      <c r="B263" s="78"/>
      <c r="C263" s="79"/>
      <c r="E263" s="4"/>
      <c r="F263" s="80"/>
      <c r="G263" s="81"/>
      <c r="H263" s="81"/>
      <c r="I263" s="93"/>
    </row>
    <row r="264" ht="14.25" customHeight="1" spans="2:9">
      <c r="B264" s="78"/>
      <c r="C264" s="79"/>
      <c r="E264" s="4"/>
      <c r="F264" s="80"/>
      <c r="G264" s="81"/>
      <c r="H264" s="81"/>
      <c r="I264" s="93"/>
    </row>
    <row r="265" ht="14.25" customHeight="1" spans="2:9">
      <c r="B265" s="78"/>
      <c r="C265" s="79"/>
      <c r="E265" s="4"/>
      <c r="F265" s="80"/>
      <c r="G265" s="81"/>
      <c r="H265" s="81"/>
      <c r="I265" s="93"/>
    </row>
    <row r="266" ht="14.25" customHeight="1" spans="2:9">
      <c r="B266" s="78"/>
      <c r="C266" s="79"/>
      <c r="E266" s="4"/>
      <c r="F266" s="80"/>
      <c r="G266" s="81"/>
      <c r="H266" s="81"/>
      <c r="I266" s="93"/>
    </row>
    <row r="267" ht="14.25" customHeight="1" spans="2:9">
      <c r="B267" s="78"/>
      <c r="C267" s="79"/>
      <c r="E267" s="4"/>
      <c r="F267" s="80"/>
      <c r="G267" s="81"/>
      <c r="H267" s="81"/>
      <c r="I267" s="93"/>
    </row>
    <row r="268" ht="14.25" customHeight="1" spans="2:9">
      <c r="B268" s="78"/>
      <c r="C268" s="79"/>
      <c r="E268" s="4"/>
      <c r="F268" s="80"/>
      <c r="G268" s="81"/>
      <c r="H268" s="81"/>
      <c r="I268" s="93"/>
    </row>
    <row r="269" ht="14.25" customHeight="1" spans="2:9">
      <c r="B269" s="78"/>
      <c r="C269" s="79"/>
      <c r="E269" s="4"/>
      <c r="F269" s="80"/>
      <c r="G269" s="81"/>
      <c r="H269" s="81"/>
      <c r="I269" s="93"/>
    </row>
    <row r="270" ht="14.25" customHeight="1" spans="2:9">
      <c r="B270" s="78"/>
      <c r="C270" s="79"/>
      <c r="E270" s="4"/>
      <c r="F270" s="80"/>
      <c r="G270" s="81"/>
      <c r="H270" s="81"/>
      <c r="I270" s="93"/>
    </row>
    <row r="271" ht="14.25" customHeight="1" spans="2:9">
      <c r="B271" s="78"/>
      <c r="C271" s="79"/>
      <c r="E271" s="4"/>
      <c r="F271" s="80"/>
      <c r="G271" s="81"/>
      <c r="H271" s="81"/>
      <c r="I271" s="93"/>
    </row>
    <row r="272" ht="14.25" customHeight="1" spans="2:9">
      <c r="B272" s="78"/>
      <c r="C272" s="79"/>
      <c r="E272" s="4"/>
      <c r="F272" s="80"/>
      <c r="G272" s="81"/>
      <c r="H272" s="81"/>
      <c r="I272" s="93"/>
    </row>
    <row r="273" ht="14.25" customHeight="1" spans="2:9">
      <c r="B273" s="78"/>
      <c r="C273" s="79"/>
      <c r="E273" s="4"/>
      <c r="F273" s="80"/>
      <c r="G273" s="81"/>
      <c r="H273" s="81"/>
      <c r="I273" s="93"/>
    </row>
    <row r="274" ht="14.25" customHeight="1" spans="2:9">
      <c r="B274" s="78"/>
      <c r="C274" s="79"/>
      <c r="E274" s="4"/>
      <c r="F274" s="80"/>
      <c r="G274" s="81"/>
      <c r="H274" s="81"/>
      <c r="I274" s="93"/>
    </row>
    <row r="275" ht="14.25" customHeight="1" spans="2:9">
      <c r="B275" s="78"/>
      <c r="C275" s="79"/>
      <c r="E275" s="4"/>
      <c r="F275" s="80"/>
      <c r="G275" s="81"/>
      <c r="H275" s="81"/>
      <c r="I275" s="93"/>
    </row>
    <row r="276" ht="14.25" customHeight="1" spans="2:9">
      <c r="B276" s="78"/>
      <c r="C276" s="79"/>
      <c r="E276" s="4"/>
      <c r="F276" s="80"/>
      <c r="G276" s="81"/>
      <c r="H276" s="81"/>
      <c r="I276" s="93"/>
    </row>
    <row r="277" ht="14.25" customHeight="1" spans="2:9">
      <c r="B277" s="78"/>
      <c r="C277" s="79"/>
      <c r="E277" s="4"/>
      <c r="F277" s="80"/>
      <c r="G277" s="81"/>
      <c r="H277" s="81"/>
      <c r="I277" s="93"/>
    </row>
    <row r="278" ht="14.25" customHeight="1" spans="2:9">
      <c r="B278" s="78"/>
      <c r="C278" s="79"/>
      <c r="E278" s="4"/>
      <c r="F278" s="80"/>
      <c r="G278" s="81"/>
      <c r="H278" s="81"/>
      <c r="I278" s="93"/>
    </row>
    <row r="279" ht="14.25" customHeight="1" spans="2:9">
      <c r="B279" s="78"/>
      <c r="C279" s="79"/>
      <c r="E279" s="4"/>
      <c r="F279" s="80"/>
      <c r="G279" s="81"/>
      <c r="H279" s="81"/>
      <c r="I279" s="93"/>
    </row>
    <row r="280" ht="14.25" customHeight="1" spans="2:9">
      <c r="B280" s="78"/>
      <c r="C280" s="79"/>
      <c r="E280" s="4"/>
      <c r="F280" s="80"/>
      <c r="G280" s="81"/>
      <c r="H280" s="81"/>
      <c r="I280" s="93"/>
    </row>
    <row r="281" ht="14.25" customHeight="1" spans="2:9">
      <c r="B281" s="78"/>
      <c r="C281" s="79"/>
      <c r="E281" s="4"/>
      <c r="F281" s="80"/>
      <c r="G281" s="81"/>
      <c r="H281" s="81"/>
      <c r="I281" s="93"/>
    </row>
    <row r="282" ht="14.25" customHeight="1" spans="2:9">
      <c r="B282" s="78"/>
      <c r="C282" s="79"/>
      <c r="E282" s="4"/>
      <c r="F282" s="80"/>
      <c r="G282" s="81"/>
      <c r="H282" s="81"/>
      <c r="I282" s="93"/>
    </row>
    <row r="283" ht="14.25" customHeight="1" spans="2:9">
      <c r="B283" s="78"/>
      <c r="C283" s="79"/>
      <c r="E283" s="4"/>
      <c r="F283" s="80"/>
      <c r="G283" s="81"/>
      <c r="H283" s="81"/>
      <c r="I283" s="93"/>
    </row>
    <row r="284" ht="14.25" customHeight="1" spans="2:9">
      <c r="B284" s="78"/>
      <c r="C284" s="79"/>
      <c r="E284" s="4"/>
      <c r="F284" s="80"/>
      <c r="G284" s="81"/>
      <c r="H284" s="81"/>
      <c r="I284" s="93"/>
    </row>
    <row r="285" ht="14.25" customHeight="1" spans="2:9">
      <c r="B285" s="78"/>
      <c r="C285" s="79"/>
      <c r="E285" s="4"/>
      <c r="F285" s="80"/>
      <c r="G285" s="81"/>
      <c r="H285" s="81"/>
      <c r="I285" s="93"/>
    </row>
    <row r="286" ht="14.25" customHeight="1" spans="2:9">
      <c r="B286" s="78"/>
      <c r="C286" s="79"/>
      <c r="E286" s="4"/>
      <c r="F286" s="80"/>
      <c r="G286" s="81"/>
      <c r="H286" s="81"/>
      <c r="I286" s="93"/>
    </row>
    <row r="287" ht="14.25" customHeight="1" spans="2:9">
      <c r="B287" s="78"/>
      <c r="C287" s="79"/>
      <c r="E287" s="4"/>
      <c r="F287" s="80"/>
      <c r="G287" s="81"/>
      <c r="H287" s="81"/>
      <c r="I287" s="93"/>
    </row>
    <row r="288" ht="14.25" customHeight="1" spans="2:9">
      <c r="B288" s="78"/>
      <c r="C288" s="79"/>
      <c r="E288" s="4"/>
      <c r="F288" s="80"/>
      <c r="G288" s="81"/>
      <c r="H288" s="81"/>
      <c r="I288" s="93"/>
    </row>
    <row r="289" ht="14.25" customHeight="1" spans="2:9">
      <c r="B289" s="78"/>
      <c r="C289" s="79"/>
      <c r="E289" s="4"/>
      <c r="F289" s="80"/>
      <c r="G289" s="81"/>
      <c r="H289" s="81"/>
      <c r="I289" s="93"/>
    </row>
    <row r="290" ht="14.25" customHeight="1" spans="2:9">
      <c r="B290" s="78"/>
      <c r="C290" s="79"/>
      <c r="E290" s="4"/>
      <c r="F290" s="80"/>
      <c r="G290" s="81"/>
      <c r="H290" s="81"/>
      <c r="I290" s="93"/>
    </row>
    <row r="291" ht="14.25" customHeight="1" spans="2:9">
      <c r="B291" s="78"/>
      <c r="C291" s="79"/>
      <c r="E291" s="4"/>
      <c r="F291" s="80"/>
      <c r="G291" s="81"/>
      <c r="H291" s="81"/>
      <c r="I291" s="93"/>
    </row>
    <row r="292" ht="14.25" customHeight="1" spans="2:9">
      <c r="B292" s="78"/>
      <c r="C292" s="79"/>
      <c r="E292" s="4"/>
      <c r="F292" s="80"/>
      <c r="G292" s="81"/>
      <c r="H292" s="81"/>
      <c r="I292" s="93"/>
    </row>
    <row r="293" ht="14.25" customHeight="1" spans="2:9">
      <c r="B293" s="78"/>
      <c r="C293" s="79"/>
      <c r="E293" s="4"/>
      <c r="F293" s="80"/>
      <c r="G293" s="81"/>
      <c r="H293" s="81"/>
      <c r="I293" s="93"/>
    </row>
    <row r="294" ht="14.25" customHeight="1" spans="2:9">
      <c r="B294" s="78"/>
      <c r="C294" s="79"/>
      <c r="E294" s="4"/>
      <c r="F294" s="80"/>
      <c r="G294" s="81"/>
      <c r="H294" s="81"/>
      <c r="I294" s="93"/>
    </row>
    <row r="295" ht="14.25" customHeight="1" spans="2:9">
      <c r="B295" s="78"/>
      <c r="C295" s="79"/>
      <c r="E295" s="4"/>
      <c r="F295" s="80"/>
      <c r="G295" s="81"/>
      <c r="H295" s="81"/>
      <c r="I295" s="93"/>
    </row>
    <row r="296" ht="14.25" customHeight="1" spans="2:9">
      <c r="B296" s="78"/>
      <c r="C296" s="79"/>
      <c r="E296" s="4"/>
      <c r="F296" s="80"/>
      <c r="G296" s="81"/>
      <c r="H296" s="81"/>
      <c r="I296" s="93"/>
    </row>
    <row r="297" ht="14.25" customHeight="1" spans="2:9">
      <c r="B297" s="78"/>
      <c r="C297" s="79"/>
      <c r="E297" s="4"/>
      <c r="F297" s="80"/>
      <c r="G297" s="81"/>
      <c r="H297" s="81"/>
      <c r="I297" s="93"/>
    </row>
    <row r="298" ht="14.25" customHeight="1" spans="2:9">
      <c r="B298" s="78"/>
      <c r="C298" s="79"/>
      <c r="E298" s="4"/>
      <c r="F298" s="80"/>
      <c r="G298" s="81"/>
      <c r="H298" s="81"/>
      <c r="I298" s="93"/>
    </row>
    <row r="299" ht="14.25" customHeight="1" spans="2:9">
      <c r="B299" s="78"/>
      <c r="C299" s="79"/>
      <c r="E299" s="4"/>
      <c r="F299" s="80"/>
      <c r="G299" s="81"/>
      <c r="H299" s="81"/>
      <c r="I299" s="93"/>
    </row>
    <row r="300" ht="14.25" customHeight="1" spans="2:9">
      <c r="B300" s="78"/>
      <c r="C300" s="79"/>
      <c r="E300" s="4"/>
      <c r="F300" s="80"/>
      <c r="G300" s="81"/>
      <c r="H300" s="81"/>
      <c r="I300" s="93"/>
    </row>
    <row r="301" ht="14.25" customHeight="1" spans="2:9">
      <c r="B301" s="78"/>
      <c r="C301" s="79"/>
      <c r="E301" s="4"/>
      <c r="F301" s="80"/>
      <c r="G301" s="81"/>
      <c r="H301" s="81"/>
      <c r="I301" s="93"/>
    </row>
    <row r="302" ht="14.25" customHeight="1" spans="2:9">
      <c r="B302" s="78"/>
      <c r="C302" s="79"/>
      <c r="E302" s="4"/>
      <c r="F302" s="80"/>
      <c r="G302" s="81"/>
      <c r="H302" s="81"/>
      <c r="I302" s="93"/>
    </row>
    <row r="303" ht="14.25" customHeight="1" spans="2:9">
      <c r="B303" s="78"/>
      <c r="C303" s="79"/>
      <c r="E303" s="4"/>
      <c r="F303" s="80"/>
      <c r="G303" s="81"/>
      <c r="H303" s="81"/>
      <c r="I303" s="93"/>
    </row>
    <row r="304" ht="14.25" customHeight="1" spans="2:9">
      <c r="B304" s="78"/>
      <c r="C304" s="79"/>
      <c r="E304" s="4"/>
      <c r="F304" s="80"/>
      <c r="G304" s="81"/>
      <c r="H304" s="81"/>
      <c r="I304" s="93"/>
    </row>
    <row r="305" ht="14.25" customHeight="1" spans="2:9">
      <c r="B305" s="78"/>
      <c r="C305" s="79"/>
      <c r="E305" s="4"/>
      <c r="F305" s="80"/>
      <c r="G305" s="81"/>
      <c r="H305" s="81"/>
      <c r="I305" s="93"/>
    </row>
    <row r="306" ht="14.25" customHeight="1" spans="2:9">
      <c r="B306" s="78"/>
      <c r="C306" s="79"/>
      <c r="E306" s="4"/>
      <c r="F306" s="80"/>
      <c r="G306" s="81"/>
      <c r="H306" s="81"/>
      <c r="I306" s="93"/>
    </row>
    <row r="307" ht="14.25" customHeight="1" spans="2:9">
      <c r="B307" s="78"/>
      <c r="C307" s="79"/>
      <c r="E307" s="4"/>
      <c r="F307" s="80"/>
      <c r="G307" s="81"/>
      <c r="H307" s="81"/>
      <c r="I307" s="93"/>
    </row>
    <row r="308" ht="14.25" customHeight="1" spans="2:9">
      <c r="B308" s="78"/>
      <c r="C308" s="79"/>
      <c r="E308" s="4"/>
      <c r="F308" s="80"/>
      <c r="G308" s="81"/>
      <c r="H308" s="81"/>
      <c r="I308" s="93"/>
    </row>
    <row r="309" ht="14.25" customHeight="1" spans="2:9">
      <c r="B309" s="78"/>
      <c r="C309" s="79"/>
      <c r="E309" s="4"/>
      <c r="F309" s="80"/>
      <c r="G309" s="81"/>
      <c r="H309" s="81"/>
      <c r="I309" s="93"/>
    </row>
    <row r="310" ht="14.25" customHeight="1" spans="2:9">
      <c r="B310" s="78"/>
      <c r="C310" s="79"/>
      <c r="E310" s="4"/>
      <c r="F310" s="80"/>
      <c r="G310" s="81"/>
      <c r="H310" s="81"/>
      <c r="I310" s="93"/>
    </row>
    <row r="311" ht="14.25" customHeight="1" spans="2:9">
      <c r="B311" s="78"/>
      <c r="C311" s="79"/>
      <c r="E311" s="4"/>
      <c r="F311" s="80"/>
      <c r="G311" s="81"/>
      <c r="H311" s="81"/>
      <c r="I311" s="93"/>
    </row>
    <row r="312" ht="14.25" customHeight="1" spans="2:9">
      <c r="B312" s="78"/>
      <c r="C312" s="79"/>
      <c r="E312" s="4"/>
      <c r="F312" s="80"/>
      <c r="G312" s="81"/>
      <c r="H312" s="81"/>
      <c r="I312" s="93"/>
    </row>
    <row r="313" ht="14.25" customHeight="1" spans="2:9">
      <c r="B313" s="78"/>
      <c r="C313" s="79"/>
      <c r="E313" s="4"/>
      <c r="F313" s="80"/>
      <c r="G313" s="81"/>
      <c r="H313" s="81"/>
      <c r="I313" s="93"/>
    </row>
    <row r="314" ht="14.25" customHeight="1" spans="2:9">
      <c r="B314" s="78"/>
      <c r="C314" s="79"/>
      <c r="E314" s="4"/>
      <c r="F314" s="80"/>
      <c r="G314" s="81"/>
      <c r="H314" s="81"/>
      <c r="I314" s="93"/>
    </row>
    <row r="315" ht="14.25" customHeight="1" spans="2:9">
      <c r="B315" s="78"/>
      <c r="C315" s="79"/>
      <c r="E315" s="4"/>
      <c r="F315" s="80"/>
      <c r="G315" s="81"/>
      <c r="H315" s="81"/>
      <c r="I315" s="93"/>
    </row>
    <row r="316" ht="14.25" customHeight="1" spans="2:9">
      <c r="B316" s="78"/>
      <c r="C316" s="79"/>
      <c r="E316" s="4"/>
      <c r="F316" s="80"/>
      <c r="G316" s="81"/>
      <c r="H316" s="81"/>
      <c r="I316" s="93"/>
    </row>
    <row r="317" ht="14.25" customHeight="1" spans="2:9">
      <c r="B317" s="78"/>
      <c r="C317" s="79"/>
      <c r="E317" s="4"/>
      <c r="F317" s="80"/>
      <c r="G317" s="81"/>
      <c r="H317" s="81"/>
      <c r="I317" s="93"/>
    </row>
    <row r="318" ht="14.25" customHeight="1" spans="2:9">
      <c r="B318" s="78"/>
      <c r="C318" s="79"/>
      <c r="E318" s="4"/>
      <c r="F318" s="80"/>
      <c r="G318" s="81"/>
      <c r="H318" s="81"/>
      <c r="I318" s="93"/>
    </row>
    <row r="319" ht="14.25" customHeight="1" spans="2:9">
      <c r="B319" s="78"/>
      <c r="C319" s="79"/>
      <c r="E319" s="4"/>
      <c r="F319" s="80"/>
      <c r="G319" s="81"/>
      <c r="H319" s="81"/>
      <c r="I319" s="93"/>
    </row>
    <row r="320" ht="14.25" customHeight="1" spans="2:9">
      <c r="B320" s="78"/>
      <c r="C320" s="79"/>
      <c r="E320" s="4"/>
      <c r="F320" s="80"/>
      <c r="G320" s="81"/>
      <c r="H320" s="81"/>
      <c r="I320" s="93"/>
    </row>
    <row r="321" ht="14.25" customHeight="1" spans="2:9">
      <c r="B321" s="78"/>
      <c r="C321" s="79"/>
      <c r="E321" s="4"/>
      <c r="F321" s="80"/>
      <c r="G321" s="81"/>
      <c r="H321" s="81"/>
      <c r="I321" s="93"/>
    </row>
    <row r="322" ht="14.25" customHeight="1" spans="2:9">
      <c r="B322" s="78"/>
      <c r="C322" s="79"/>
      <c r="E322" s="4"/>
      <c r="F322" s="80"/>
      <c r="G322" s="81"/>
      <c r="H322" s="81"/>
      <c r="I322" s="93"/>
    </row>
    <row r="323" ht="14.25" customHeight="1" spans="2:9">
      <c r="B323" s="78"/>
      <c r="C323" s="79"/>
      <c r="E323" s="4"/>
      <c r="F323" s="80"/>
      <c r="G323" s="81"/>
      <c r="H323" s="81"/>
      <c r="I323" s="93"/>
    </row>
    <row r="324" ht="14.25" customHeight="1" spans="2:9">
      <c r="B324" s="78"/>
      <c r="C324" s="79"/>
      <c r="E324" s="4"/>
      <c r="F324" s="80"/>
      <c r="G324" s="81"/>
      <c r="H324" s="81"/>
      <c r="I324" s="93"/>
    </row>
    <row r="325" ht="14.25" customHeight="1" spans="2:9">
      <c r="B325" s="78"/>
      <c r="C325" s="79"/>
      <c r="E325" s="4"/>
      <c r="F325" s="80"/>
      <c r="G325" s="81"/>
      <c r="H325" s="81"/>
      <c r="I325" s="93"/>
    </row>
    <row r="326" ht="14.25" customHeight="1" spans="2:9">
      <c r="B326" s="78"/>
      <c r="C326" s="79"/>
      <c r="E326" s="4"/>
      <c r="F326" s="80"/>
      <c r="G326" s="81"/>
      <c r="H326" s="81"/>
      <c r="I326" s="93"/>
    </row>
    <row r="327" ht="14.25" customHeight="1" spans="2:9">
      <c r="B327" s="78"/>
      <c r="C327" s="79"/>
      <c r="E327" s="4"/>
      <c r="F327" s="80"/>
      <c r="G327" s="81"/>
      <c r="H327" s="81"/>
      <c r="I327" s="93"/>
    </row>
    <row r="328" ht="14.25" customHeight="1" spans="2:9">
      <c r="B328" s="78"/>
      <c r="C328" s="79"/>
      <c r="E328" s="4"/>
      <c r="F328" s="80"/>
      <c r="G328" s="81"/>
      <c r="H328" s="81"/>
      <c r="I328" s="93"/>
    </row>
    <row r="329" ht="14.25" customHeight="1" spans="2:9">
      <c r="B329" s="78"/>
      <c r="C329" s="79"/>
      <c r="E329" s="4"/>
      <c r="F329" s="80"/>
      <c r="G329" s="81"/>
      <c r="H329" s="81"/>
      <c r="I329" s="93"/>
    </row>
    <row r="330" ht="14.25" customHeight="1" spans="2:9">
      <c r="B330" s="78"/>
      <c r="C330" s="79"/>
      <c r="E330" s="4"/>
      <c r="F330" s="80"/>
      <c r="G330" s="81"/>
      <c r="H330" s="81"/>
      <c r="I330" s="93"/>
    </row>
    <row r="331" ht="14.25" customHeight="1" spans="2:9">
      <c r="B331" s="78"/>
      <c r="C331" s="79"/>
      <c r="E331" s="4"/>
      <c r="F331" s="80"/>
      <c r="G331" s="81"/>
      <c r="H331" s="81"/>
      <c r="I331" s="93"/>
    </row>
    <row r="332" ht="14.25" customHeight="1" spans="2:9">
      <c r="B332" s="78"/>
      <c r="C332" s="79"/>
      <c r="E332" s="4"/>
      <c r="F332" s="80"/>
      <c r="G332" s="81"/>
      <c r="H332" s="81"/>
      <c r="I332" s="93"/>
    </row>
    <row r="333" ht="14.25" customHeight="1" spans="2:9">
      <c r="B333" s="78"/>
      <c r="C333" s="79"/>
      <c r="E333" s="4"/>
      <c r="F333" s="80"/>
      <c r="G333" s="81"/>
      <c r="H333" s="81"/>
      <c r="I333" s="93"/>
    </row>
    <row r="334" ht="14.25" customHeight="1" spans="2:9">
      <c r="B334" s="78"/>
      <c r="C334" s="79"/>
      <c r="E334" s="4"/>
      <c r="F334" s="80"/>
      <c r="G334" s="81"/>
      <c r="H334" s="81"/>
      <c r="I334" s="93"/>
    </row>
    <row r="335" ht="14.25" customHeight="1" spans="2:9">
      <c r="B335" s="78"/>
      <c r="C335" s="79"/>
      <c r="E335" s="4"/>
      <c r="F335" s="80"/>
      <c r="G335" s="81"/>
      <c r="H335" s="81"/>
      <c r="I335" s="93"/>
    </row>
    <row r="336" ht="14.25" customHeight="1" spans="2:9">
      <c r="B336" s="78"/>
      <c r="C336" s="79"/>
      <c r="E336" s="4"/>
      <c r="F336" s="80"/>
      <c r="G336" s="81"/>
      <c r="H336" s="81"/>
      <c r="I336" s="93"/>
    </row>
    <row r="337" ht="14.25" customHeight="1" spans="2:9">
      <c r="B337" s="78"/>
      <c r="C337" s="79"/>
      <c r="E337" s="4"/>
      <c r="F337" s="80"/>
      <c r="G337" s="81"/>
      <c r="H337" s="81"/>
      <c r="I337" s="93"/>
    </row>
    <row r="338" ht="14.25" customHeight="1" spans="2:9">
      <c r="B338" s="78"/>
      <c r="C338" s="79"/>
      <c r="E338" s="4"/>
      <c r="F338" s="80"/>
      <c r="G338" s="81"/>
      <c r="H338" s="81"/>
      <c r="I338" s="93"/>
    </row>
    <row r="339" ht="14.25" customHeight="1" spans="2:9">
      <c r="B339" s="78"/>
      <c r="C339" s="79"/>
      <c r="E339" s="4"/>
      <c r="F339" s="80"/>
      <c r="G339" s="81"/>
      <c r="H339" s="81"/>
      <c r="I339" s="93"/>
    </row>
    <row r="340" ht="14.25" customHeight="1" spans="2:9">
      <c r="B340" s="78"/>
      <c r="C340" s="79"/>
      <c r="E340" s="4"/>
      <c r="F340" s="80"/>
      <c r="G340" s="81"/>
      <c r="H340" s="81"/>
      <c r="I340" s="93"/>
    </row>
    <row r="341" ht="14.25" customHeight="1" spans="2:9">
      <c r="B341" s="78"/>
      <c r="C341" s="79"/>
      <c r="E341" s="4"/>
      <c r="F341" s="80"/>
      <c r="G341" s="81"/>
      <c r="H341" s="81"/>
      <c r="I341" s="93"/>
    </row>
    <row r="342" ht="14.25" customHeight="1" spans="2:9">
      <c r="B342" s="78"/>
      <c r="C342" s="79"/>
      <c r="E342" s="4"/>
      <c r="F342" s="80"/>
      <c r="G342" s="81"/>
      <c r="H342" s="81"/>
      <c r="I342" s="93"/>
    </row>
    <row r="343" ht="14.25" customHeight="1" spans="2:9">
      <c r="B343" s="78"/>
      <c r="C343" s="79"/>
      <c r="E343" s="4"/>
      <c r="F343" s="80"/>
      <c r="G343" s="81"/>
      <c r="H343" s="81"/>
      <c r="I343" s="93"/>
    </row>
    <row r="344" ht="14.25" customHeight="1" spans="2:9">
      <c r="B344" s="78"/>
      <c r="C344" s="79"/>
      <c r="E344" s="4"/>
      <c r="F344" s="80"/>
      <c r="G344" s="81"/>
      <c r="H344" s="81"/>
      <c r="I344" s="93"/>
    </row>
    <row r="345" ht="14.25" customHeight="1" spans="2:9">
      <c r="B345" s="78"/>
      <c r="C345" s="79"/>
      <c r="E345" s="4"/>
      <c r="F345" s="80"/>
      <c r="G345" s="81"/>
      <c r="H345" s="81"/>
      <c r="I345" s="93"/>
    </row>
    <row r="346" ht="14.25" customHeight="1" spans="2:9">
      <c r="B346" s="78"/>
      <c r="C346" s="79"/>
      <c r="E346" s="4"/>
      <c r="F346" s="80"/>
      <c r="G346" s="81"/>
      <c r="H346" s="81"/>
      <c r="I346" s="93"/>
    </row>
    <row r="347" ht="14.25" customHeight="1" spans="2:9">
      <c r="B347" s="78"/>
      <c r="C347" s="79"/>
      <c r="E347" s="4"/>
      <c r="F347" s="80"/>
      <c r="G347" s="81"/>
      <c r="H347" s="81"/>
      <c r="I347" s="93"/>
    </row>
    <row r="348" ht="14.25" customHeight="1" spans="2:9">
      <c r="B348" s="78"/>
      <c r="C348" s="79"/>
      <c r="E348" s="4"/>
      <c r="F348" s="80"/>
      <c r="G348" s="81"/>
      <c r="H348" s="81"/>
      <c r="I348" s="93"/>
    </row>
    <row r="349" ht="14.25" customHeight="1" spans="2:9">
      <c r="B349" s="78"/>
      <c r="C349" s="79"/>
      <c r="E349" s="4"/>
      <c r="F349" s="80"/>
      <c r="G349" s="81"/>
      <c r="H349" s="81"/>
      <c r="I349" s="93"/>
    </row>
    <row r="350" ht="14.25" customHeight="1" spans="2:9">
      <c r="B350" s="78"/>
      <c r="C350" s="79"/>
      <c r="E350" s="4"/>
      <c r="F350" s="80"/>
      <c r="G350" s="81"/>
      <c r="H350" s="81"/>
      <c r="I350" s="93"/>
    </row>
    <row r="351" ht="14.25" customHeight="1" spans="2:9">
      <c r="B351" s="78"/>
      <c r="C351" s="79"/>
      <c r="E351" s="4"/>
      <c r="F351" s="80"/>
      <c r="G351" s="81"/>
      <c r="H351" s="81"/>
      <c r="I351" s="93"/>
    </row>
    <row r="352" ht="14.25" customHeight="1" spans="2:9">
      <c r="B352" s="78"/>
      <c r="C352" s="79"/>
      <c r="E352" s="4"/>
      <c r="F352" s="80"/>
      <c r="G352" s="81"/>
      <c r="H352" s="81"/>
      <c r="I352" s="93"/>
    </row>
    <row r="353" ht="14.25" customHeight="1" spans="2:9">
      <c r="B353" s="78"/>
      <c r="C353" s="79"/>
      <c r="E353" s="4"/>
      <c r="F353" s="80"/>
      <c r="G353" s="81"/>
      <c r="H353" s="81"/>
      <c r="I353" s="93"/>
    </row>
    <row r="354" ht="14.25" customHeight="1" spans="2:9">
      <c r="B354" s="78"/>
      <c r="C354" s="79"/>
      <c r="E354" s="4"/>
      <c r="F354" s="80"/>
      <c r="G354" s="81"/>
      <c r="H354" s="81"/>
      <c r="I354" s="93"/>
    </row>
    <row r="355" ht="14.25" customHeight="1" spans="2:9">
      <c r="B355" s="78"/>
      <c r="C355" s="79"/>
      <c r="E355" s="4"/>
      <c r="F355" s="80"/>
      <c r="G355" s="81"/>
      <c r="H355" s="81"/>
      <c r="I355" s="93"/>
    </row>
    <row r="356" ht="14.25" customHeight="1" spans="2:9">
      <c r="B356" s="78"/>
      <c r="C356" s="79"/>
      <c r="E356" s="4"/>
      <c r="F356" s="80"/>
      <c r="G356" s="81"/>
      <c r="H356" s="81"/>
      <c r="I356" s="93"/>
    </row>
    <row r="357" ht="14.25" customHeight="1" spans="2:9">
      <c r="B357" s="78"/>
      <c r="C357" s="79"/>
      <c r="E357" s="4"/>
      <c r="F357" s="80"/>
      <c r="G357" s="81"/>
      <c r="H357" s="81"/>
      <c r="I357" s="93"/>
    </row>
    <row r="358" ht="14.25" customHeight="1" spans="2:9">
      <c r="B358" s="78"/>
      <c r="C358" s="79"/>
      <c r="E358" s="4"/>
      <c r="F358" s="80"/>
      <c r="G358" s="81"/>
      <c r="H358" s="81"/>
      <c r="I358" s="93"/>
    </row>
    <row r="359" ht="14.25" customHeight="1" spans="2:9">
      <c r="B359" s="78"/>
      <c r="C359" s="79"/>
      <c r="E359" s="4"/>
      <c r="F359" s="80"/>
      <c r="G359" s="81"/>
      <c r="H359" s="81"/>
      <c r="I359" s="93"/>
    </row>
    <row r="360" ht="14.25" customHeight="1" spans="2:9">
      <c r="B360" s="78"/>
      <c r="C360" s="79"/>
      <c r="E360" s="4"/>
      <c r="F360" s="80"/>
      <c r="G360" s="81"/>
      <c r="H360" s="81"/>
      <c r="I360" s="93"/>
    </row>
    <row r="361" ht="14.25" customHeight="1" spans="2:9">
      <c r="B361" s="78"/>
      <c r="C361" s="79"/>
      <c r="E361" s="4"/>
      <c r="F361" s="80"/>
      <c r="G361" s="81"/>
      <c r="H361" s="81"/>
      <c r="I361" s="93"/>
    </row>
    <row r="362" ht="14.25" customHeight="1" spans="2:9">
      <c r="B362" s="78"/>
      <c r="C362" s="79"/>
      <c r="E362" s="4"/>
      <c r="F362" s="80"/>
      <c r="G362" s="81"/>
      <c r="H362" s="81"/>
      <c r="I362" s="93"/>
    </row>
    <row r="363" ht="14.25" customHeight="1" spans="2:9">
      <c r="B363" s="78"/>
      <c r="C363" s="79"/>
      <c r="E363" s="4"/>
      <c r="F363" s="80"/>
      <c r="G363" s="81"/>
      <c r="H363" s="81"/>
      <c r="I363" s="93"/>
    </row>
    <row r="364" ht="14.25" customHeight="1" spans="2:9">
      <c r="B364" s="78"/>
      <c r="C364" s="79"/>
      <c r="E364" s="4"/>
      <c r="F364" s="80"/>
      <c r="G364" s="81"/>
      <c r="H364" s="81"/>
      <c r="I364" s="93"/>
    </row>
    <row r="365" ht="14.25" customHeight="1" spans="2:9">
      <c r="B365" s="78"/>
      <c r="C365" s="79"/>
      <c r="E365" s="4"/>
      <c r="F365" s="80"/>
      <c r="G365" s="81"/>
      <c r="H365" s="81"/>
      <c r="I365" s="93"/>
    </row>
    <row r="366" ht="14.25" customHeight="1" spans="2:9">
      <c r="B366" s="78"/>
      <c r="C366" s="79"/>
      <c r="E366" s="4"/>
      <c r="F366" s="80"/>
      <c r="G366" s="81"/>
      <c r="H366" s="81"/>
      <c r="I366" s="93"/>
    </row>
    <row r="367" ht="14.25" customHeight="1" spans="2:9">
      <c r="B367" s="78"/>
      <c r="C367" s="79"/>
      <c r="E367" s="4"/>
      <c r="F367" s="80"/>
      <c r="G367" s="81"/>
      <c r="H367" s="81"/>
      <c r="I367" s="93"/>
    </row>
    <row r="368" ht="14.25" customHeight="1" spans="2:9">
      <c r="B368" s="78"/>
      <c r="C368" s="79"/>
      <c r="E368" s="4"/>
      <c r="F368" s="80"/>
      <c r="G368" s="81"/>
      <c r="H368" s="81"/>
      <c r="I368" s="93"/>
    </row>
    <row r="369" ht="14.25" customHeight="1" spans="2:9">
      <c r="B369" s="78"/>
      <c r="C369" s="79"/>
      <c r="E369" s="4"/>
      <c r="F369" s="80"/>
      <c r="G369" s="81"/>
      <c r="H369" s="81"/>
      <c r="I369" s="93"/>
    </row>
    <row r="370" ht="14.25" customHeight="1" spans="2:9">
      <c r="B370" s="78"/>
      <c r="C370" s="79"/>
      <c r="E370" s="4"/>
      <c r="F370" s="80"/>
      <c r="G370" s="81"/>
      <c r="H370" s="81"/>
      <c r="I370" s="93"/>
    </row>
    <row r="371" ht="14.25" customHeight="1" spans="2:9">
      <c r="B371" s="78"/>
      <c r="C371" s="79"/>
      <c r="E371" s="4"/>
      <c r="F371" s="80"/>
      <c r="G371" s="81"/>
      <c r="H371" s="81"/>
      <c r="I371" s="93"/>
    </row>
    <row r="372" ht="14.25" customHeight="1" spans="2:9">
      <c r="B372" s="78"/>
      <c r="C372" s="79"/>
      <c r="E372" s="4"/>
      <c r="F372" s="80"/>
      <c r="G372" s="81"/>
      <c r="H372" s="81"/>
      <c r="I372" s="93"/>
    </row>
    <row r="373" ht="14.25" customHeight="1" spans="2:9">
      <c r="B373" s="78"/>
      <c r="C373" s="79"/>
      <c r="E373" s="4"/>
      <c r="F373" s="80"/>
      <c r="G373" s="81"/>
      <c r="H373" s="81"/>
      <c r="I373" s="93"/>
    </row>
    <row r="374" ht="14.25" customHeight="1" spans="2:9">
      <c r="B374" s="78"/>
      <c r="C374" s="79"/>
      <c r="E374" s="4"/>
      <c r="F374" s="80"/>
      <c r="G374" s="81"/>
      <c r="H374" s="81"/>
      <c r="I374" s="93"/>
    </row>
    <row r="375" ht="14.25" customHeight="1" spans="2:9">
      <c r="B375" s="78"/>
      <c r="C375" s="79"/>
      <c r="E375" s="4"/>
      <c r="F375" s="80"/>
      <c r="G375" s="81"/>
      <c r="H375" s="81"/>
      <c r="I375" s="93"/>
    </row>
    <row r="376" ht="14.25" customHeight="1" spans="2:9">
      <c r="B376" s="78"/>
      <c r="C376" s="79"/>
      <c r="E376" s="4"/>
      <c r="F376" s="80"/>
      <c r="G376" s="81"/>
      <c r="H376" s="81"/>
      <c r="I376" s="93"/>
    </row>
    <row r="377" ht="14.25" customHeight="1" spans="2:9">
      <c r="B377" s="78"/>
      <c r="C377" s="79"/>
      <c r="E377" s="4"/>
      <c r="F377" s="80"/>
      <c r="G377" s="81"/>
      <c r="H377" s="81"/>
      <c r="I377" s="93"/>
    </row>
    <row r="378" ht="14.25" customHeight="1" spans="2:9">
      <c r="B378" s="78"/>
      <c r="C378" s="79"/>
      <c r="E378" s="4"/>
      <c r="F378" s="80"/>
      <c r="G378" s="81"/>
      <c r="H378" s="81"/>
      <c r="I378" s="93"/>
    </row>
    <row r="379" ht="14.25" customHeight="1" spans="2:9">
      <c r="B379" s="78"/>
      <c r="C379" s="79"/>
      <c r="E379" s="4"/>
      <c r="F379" s="80"/>
      <c r="G379" s="81"/>
      <c r="H379" s="81"/>
      <c r="I379" s="93"/>
    </row>
    <row r="380" ht="14.25" customHeight="1" spans="2:9">
      <c r="B380" s="78"/>
      <c r="C380" s="79"/>
      <c r="E380" s="4"/>
      <c r="F380" s="80"/>
      <c r="G380" s="81"/>
      <c r="H380" s="81"/>
      <c r="I380" s="93"/>
    </row>
    <row r="381" ht="14.25" customHeight="1" spans="2:9">
      <c r="B381" s="78"/>
      <c r="C381" s="79"/>
      <c r="E381" s="4"/>
      <c r="F381" s="80"/>
      <c r="G381" s="81"/>
      <c r="H381" s="81"/>
      <c r="I381" s="93"/>
    </row>
    <row r="382" ht="14.25" customHeight="1" spans="2:9">
      <c r="B382" s="78"/>
      <c r="C382" s="79"/>
      <c r="E382" s="4"/>
      <c r="F382" s="80"/>
      <c r="G382" s="81"/>
      <c r="H382" s="81"/>
      <c r="I382" s="93"/>
    </row>
    <row r="383" ht="14.25" customHeight="1" spans="2:9">
      <c r="B383" s="78"/>
      <c r="C383" s="79"/>
      <c r="E383" s="4"/>
      <c r="F383" s="80"/>
      <c r="G383" s="81"/>
      <c r="H383" s="81"/>
      <c r="I383" s="93"/>
    </row>
    <row r="384" ht="14.25" customHeight="1" spans="2:9">
      <c r="B384" s="78"/>
      <c r="C384" s="79"/>
      <c r="E384" s="4"/>
      <c r="F384" s="80"/>
      <c r="G384" s="81"/>
      <c r="H384" s="81"/>
      <c r="I384" s="93"/>
    </row>
    <row r="385" ht="14.25" customHeight="1" spans="2:9">
      <c r="B385" s="78"/>
      <c r="C385" s="79"/>
      <c r="E385" s="4"/>
      <c r="F385" s="80"/>
      <c r="G385" s="81"/>
      <c r="H385" s="81"/>
      <c r="I385" s="93"/>
    </row>
    <row r="386" ht="14.25" customHeight="1" spans="2:9">
      <c r="B386" s="78"/>
      <c r="C386" s="79"/>
      <c r="E386" s="4"/>
      <c r="F386" s="80"/>
      <c r="G386" s="81"/>
      <c r="H386" s="81"/>
      <c r="I386" s="93"/>
    </row>
    <row r="387" ht="14.25" customHeight="1" spans="2:9">
      <c r="B387" s="78"/>
      <c r="C387" s="79"/>
      <c r="E387" s="4"/>
      <c r="F387" s="80"/>
      <c r="G387" s="81"/>
      <c r="H387" s="81"/>
      <c r="I387" s="93"/>
    </row>
    <row r="388" ht="14.25" customHeight="1" spans="2:9">
      <c r="B388" s="78"/>
      <c r="C388" s="79"/>
      <c r="E388" s="4"/>
      <c r="F388" s="80"/>
      <c r="G388" s="81"/>
      <c r="H388" s="81"/>
      <c r="I388" s="93"/>
    </row>
    <row r="389" ht="14.25" customHeight="1" spans="2:9">
      <c r="B389" s="78"/>
      <c r="C389" s="79"/>
      <c r="E389" s="4"/>
      <c r="F389" s="80"/>
      <c r="G389" s="81"/>
      <c r="H389" s="81"/>
      <c r="I389" s="93"/>
    </row>
    <row r="390" ht="14.25" customHeight="1" spans="2:9">
      <c r="B390" s="78"/>
      <c r="C390" s="79"/>
      <c r="E390" s="4"/>
      <c r="F390" s="80"/>
      <c r="G390" s="81"/>
      <c r="H390" s="81"/>
      <c r="I390" s="93"/>
    </row>
    <row r="391" ht="14.25" customHeight="1" spans="2:9">
      <c r="B391" s="78"/>
      <c r="C391" s="79"/>
      <c r="E391" s="4"/>
      <c r="F391" s="80"/>
      <c r="G391" s="81"/>
      <c r="H391" s="81"/>
      <c r="I391" s="93"/>
    </row>
    <row r="392" ht="14.25" customHeight="1" spans="2:9">
      <c r="B392" s="78"/>
      <c r="C392" s="79"/>
      <c r="E392" s="4"/>
      <c r="F392" s="80"/>
      <c r="G392" s="81"/>
      <c r="H392" s="81"/>
      <c r="I392" s="93"/>
    </row>
    <row r="393" ht="14.25" customHeight="1" spans="2:9">
      <c r="B393" s="78"/>
      <c r="C393" s="79"/>
      <c r="E393" s="4"/>
      <c r="F393" s="80"/>
      <c r="G393" s="81"/>
      <c r="H393" s="81"/>
      <c r="I393" s="93"/>
    </row>
    <row r="394" ht="14.25" customHeight="1" spans="2:9">
      <c r="B394" s="78"/>
      <c r="C394" s="79"/>
      <c r="E394" s="4"/>
      <c r="F394" s="80"/>
      <c r="G394" s="81"/>
      <c r="H394" s="81"/>
      <c r="I394" s="93"/>
    </row>
    <row r="395" ht="14.25" customHeight="1" spans="2:9">
      <c r="B395" s="78"/>
      <c r="C395" s="79"/>
      <c r="E395" s="4"/>
      <c r="F395" s="80"/>
      <c r="G395" s="81"/>
      <c r="H395" s="81"/>
      <c r="I395" s="93"/>
    </row>
    <row r="396" ht="14.25" customHeight="1" spans="2:9">
      <c r="B396" s="78"/>
      <c r="C396" s="79"/>
      <c r="E396" s="4"/>
      <c r="F396" s="80"/>
      <c r="G396" s="81"/>
      <c r="H396" s="81"/>
      <c r="I396" s="93"/>
    </row>
    <row r="397" ht="14.25" customHeight="1" spans="2:9">
      <c r="B397" s="78"/>
      <c r="C397" s="79"/>
      <c r="E397" s="4"/>
      <c r="F397" s="80"/>
      <c r="G397" s="81"/>
      <c r="H397" s="81"/>
      <c r="I397" s="93"/>
    </row>
    <row r="398" ht="14.25" customHeight="1" spans="2:9">
      <c r="B398" s="78"/>
      <c r="C398" s="79"/>
      <c r="E398" s="4"/>
      <c r="F398" s="80"/>
      <c r="G398" s="81"/>
      <c r="H398" s="81"/>
      <c r="I398" s="93"/>
    </row>
    <row r="399" ht="14.25" customHeight="1" spans="2:9">
      <c r="B399" s="78"/>
      <c r="C399" s="79"/>
      <c r="E399" s="4"/>
      <c r="F399" s="80"/>
      <c r="G399" s="81"/>
      <c r="H399" s="81"/>
      <c r="I399" s="93"/>
    </row>
    <row r="400" ht="14.25" customHeight="1" spans="2:9">
      <c r="B400" s="78"/>
      <c r="C400" s="79"/>
      <c r="E400" s="4"/>
      <c r="F400" s="80"/>
      <c r="G400" s="81"/>
      <c r="H400" s="81"/>
      <c r="I400" s="93"/>
    </row>
    <row r="401" ht="14.25" customHeight="1" spans="2:9">
      <c r="B401" s="78"/>
      <c r="C401" s="79"/>
      <c r="E401" s="4"/>
      <c r="F401" s="80"/>
      <c r="G401" s="81"/>
      <c r="H401" s="81"/>
      <c r="I401" s="93"/>
    </row>
    <row r="402" ht="14.25" customHeight="1" spans="2:9">
      <c r="B402" s="78"/>
      <c r="C402" s="79"/>
      <c r="E402" s="4"/>
      <c r="F402" s="80"/>
      <c r="G402" s="81"/>
      <c r="H402" s="81"/>
      <c r="I402" s="93"/>
    </row>
    <row r="403" ht="14.25" customHeight="1" spans="2:9">
      <c r="B403" s="78"/>
      <c r="C403" s="79"/>
      <c r="E403" s="4"/>
      <c r="F403" s="80"/>
      <c r="G403" s="81"/>
      <c r="H403" s="81"/>
      <c r="I403" s="93"/>
    </row>
    <row r="404" ht="14.25" customHeight="1" spans="2:9">
      <c r="B404" s="78"/>
      <c r="C404" s="79"/>
      <c r="E404" s="4"/>
      <c r="F404" s="80"/>
      <c r="G404" s="81"/>
      <c r="H404" s="81"/>
      <c r="I404" s="93"/>
    </row>
    <row r="405" ht="14.25" customHeight="1" spans="2:9">
      <c r="B405" s="78"/>
      <c r="C405" s="79"/>
      <c r="E405" s="4"/>
      <c r="F405" s="80"/>
      <c r="G405" s="81"/>
      <c r="H405" s="81"/>
      <c r="I405" s="93"/>
    </row>
    <row r="406" ht="14.25" customHeight="1" spans="2:9">
      <c r="B406" s="78"/>
      <c r="C406" s="79"/>
      <c r="E406" s="4"/>
      <c r="F406" s="80"/>
      <c r="G406" s="81"/>
      <c r="H406" s="81"/>
      <c r="I406" s="93"/>
    </row>
    <row r="407" ht="14.25" customHeight="1" spans="2:9">
      <c r="B407" s="78"/>
      <c r="C407" s="79"/>
      <c r="E407" s="4"/>
      <c r="F407" s="80"/>
      <c r="G407" s="81"/>
      <c r="H407" s="81"/>
      <c r="I407" s="93"/>
    </row>
    <row r="408" ht="14.25" customHeight="1" spans="2:9">
      <c r="B408" s="78"/>
      <c r="C408" s="79"/>
      <c r="E408" s="4"/>
      <c r="F408" s="80"/>
      <c r="G408" s="81"/>
      <c r="H408" s="81"/>
      <c r="I408" s="93"/>
    </row>
    <row r="409" ht="14.25" customHeight="1" spans="2:9">
      <c r="B409" s="78"/>
      <c r="C409" s="79"/>
      <c r="E409" s="4"/>
      <c r="F409" s="80"/>
      <c r="G409" s="81"/>
      <c r="H409" s="81"/>
      <c r="I409" s="93"/>
    </row>
    <row r="410" ht="14.25" customHeight="1" spans="2:9">
      <c r="B410" s="78"/>
      <c r="C410" s="79"/>
      <c r="E410" s="4"/>
      <c r="F410" s="80"/>
      <c r="G410" s="81"/>
      <c r="H410" s="81"/>
      <c r="I410" s="93"/>
    </row>
    <row r="411" ht="14.25" customHeight="1" spans="2:9">
      <c r="B411" s="78"/>
      <c r="C411" s="79"/>
      <c r="E411" s="4"/>
      <c r="F411" s="80"/>
      <c r="G411" s="81"/>
      <c r="H411" s="81"/>
      <c r="I411" s="93"/>
    </row>
    <row r="412" ht="14.25" customHeight="1" spans="2:9">
      <c r="B412" s="78"/>
      <c r="C412" s="79"/>
      <c r="E412" s="4"/>
      <c r="F412" s="80"/>
      <c r="G412" s="81"/>
      <c r="H412" s="81"/>
      <c r="I412" s="93"/>
    </row>
    <row r="413" ht="14.25" customHeight="1" spans="2:9">
      <c r="B413" s="78"/>
      <c r="C413" s="79"/>
      <c r="E413" s="4"/>
      <c r="F413" s="80"/>
      <c r="G413" s="81"/>
      <c r="H413" s="81"/>
      <c r="I413" s="93"/>
    </row>
    <row r="414" ht="14.25" customHeight="1" spans="2:9">
      <c r="B414" s="78"/>
      <c r="C414" s="79"/>
      <c r="E414" s="4"/>
      <c r="F414" s="80"/>
      <c r="G414" s="81"/>
      <c r="H414" s="81"/>
      <c r="I414" s="93"/>
    </row>
    <row r="415" ht="14.25" customHeight="1" spans="2:9">
      <c r="B415" s="78"/>
      <c r="C415" s="79"/>
      <c r="E415" s="4"/>
      <c r="F415" s="80"/>
      <c r="G415" s="81"/>
      <c r="H415" s="81"/>
      <c r="I415" s="93"/>
    </row>
    <row r="416" ht="14.25" customHeight="1" spans="2:9">
      <c r="B416" s="78"/>
      <c r="C416" s="79"/>
      <c r="E416" s="4"/>
      <c r="F416" s="80"/>
      <c r="G416" s="81"/>
      <c r="H416" s="81"/>
      <c r="I416" s="93"/>
    </row>
    <row r="417" ht="14.25" customHeight="1" spans="2:9">
      <c r="B417" s="78"/>
      <c r="C417" s="79"/>
      <c r="E417" s="4"/>
      <c r="F417" s="80"/>
      <c r="G417" s="81"/>
      <c r="H417" s="81"/>
      <c r="I417" s="93"/>
    </row>
    <row r="418" ht="14.25" customHeight="1" spans="2:9">
      <c r="B418" s="78"/>
      <c r="C418" s="79"/>
      <c r="E418" s="4"/>
      <c r="F418" s="80"/>
      <c r="G418" s="81"/>
      <c r="H418" s="81"/>
      <c r="I418" s="93"/>
    </row>
    <row r="419" ht="14.25" customHeight="1" spans="2:9">
      <c r="B419" s="78"/>
      <c r="C419" s="79"/>
      <c r="E419" s="4"/>
      <c r="F419" s="80"/>
      <c r="G419" s="81"/>
      <c r="H419" s="81"/>
      <c r="I419" s="93"/>
    </row>
    <row r="420" ht="14.25" customHeight="1" spans="2:9">
      <c r="B420" s="78"/>
      <c r="C420" s="79"/>
      <c r="E420" s="4"/>
      <c r="F420" s="80"/>
      <c r="G420" s="81"/>
      <c r="H420" s="81"/>
      <c r="I420" s="93"/>
    </row>
    <row r="421" ht="14.25" customHeight="1" spans="2:9">
      <c r="B421" s="78"/>
      <c r="C421" s="79"/>
      <c r="E421" s="4"/>
      <c r="F421" s="80"/>
      <c r="G421" s="81"/>
      <c r="H421" s="81"/>
      <c r="I421" s="93"/>
    </row>
    <row r="422" ht="14.25" customHeight="1" spans="2:9">
      <c r="B422" s="78"/>
      <c r="C422" s="79"/>
      <c r="E422" s="4"/>
      <c r="F422" s="80"/>
      <c r="G422" s="81"/>
      <c r="H422" s="81"/>
      <c r="I422" s="93"/>
    </row>
    <row r="423" ht="14.25" customHeight="1" spans="2:9">
      <c r="B423" s="78"/>
      <c r="C423" s="79"/>
      <c r="E423" s="4"/>
      <c r="F423" s="80"/>
      <c r="G423" s="81"/>
      <c r="H423" s="81"/>
      <c r="I423" s="93"/>
    </row>
    <row r="424" ht="14.25" customHeight="1" spans="2:9">
      <c r="B424" s="78"/>
      <c r="C424" s="79"/>
      <c r="E424" s="4"/>
      <c r="F424" s="80"/>
      <c r="G424" s="81"/>
      <c r="H424" s="81"/>
      <c r="I424" s="93"/>
    </row>
    <row r="425" ht="14.25" customHeight="1" spans="2:9">
      <c r="B425" s="78"/>
      <c r="C425" s="79"/>
      <c r="E425" s="4"/>
      <c r="F425" s="80"/>
      <c r="G425" s="81"/>
      <c r="H425" s="81"/>
      <c r="I425" s="93"/>
    </row>
    <row r="426" ht="14.25" customHeight="1" spans="2:9">
      <c r="B426" s="78"/>
      <c r="C426" s="79"/>
      <c r="E426" s="4"/>
      <c r="F426" s="80"/>
      <c r="G426" s="81"/>
      <c r="H426" s="81"/>
      <c r="I426" s="93"/>
    </row>
    <row r="427" ht="14.25" customHeight="1" spans="2:9">
      <c r="B427" s="78"/>
      <c r="C427" s="79"/>
      <c r="E427" s="4"/>
      <c r="F427" s="80"/>
      <c r="G427" s="81"/>
      <c r="H427" s="81"/>
      <c r="I427" s="93"/>
    </row>
    <row r="428" ht="14.25" customHeight="1" spans="2:9">
      <c r="B428" s="78"/>
      <c r="C428" s="79"/>
      <c r="E428" s="4"/>
      <c r="F428" s="80"/>
      <c r="G428" s="81"/>
      <c r="H428" s="81"/>
      <c r="I428" s="93"/>
    </row>
    <row r="429" ht="14.25" customHeight="1" spans="2:9">
      <c r="B429" s="78"/>
      <c r="C429" s="79"/>
      <c r="E429" s="4"/>
      <c r="F429" s="80"/>
      <c r="G429" s="81"/>
      <c r="H429" s="81"/>
      <c r="I429" s="93"/>
    </row>
    <row r="430" ht="14.25" customHeight="1" spans="2:9">
      <c r="B430" s="78"/>
      <c r="C430" s="79"/>
      <c r="E430" s="4"/>
      <c r="F430" s="80"/>
      <c r="G430" s="81"/>
      <c r="H430" s="81"/>
      <c r="I430" s="93"/>
    </row>
    <row r="431" ht="14.25" customHeight="1" spans="2:9">
      <c r="B431" s="78"/>
      <c r="C431" s="79"/>
      <c r="E431" s="4"/>
      <c r="F431" s="80"/>
      <c r="G431" s="81"/>
      <c r="H431" s="81"/>
      <c r="I431" s="93"/>
    </row>
    <row r="432" ht="14.25" customHeight="1" spans="2:9">
      <c r="B432" s="78"/>
      <c r="C432" s="79"/>
      <c r="E432" s="4"/>
      <c r="F432" s="80"/>
      <c r="G432" s="81"/>
      <c r="H432" s="81"/>
      <c r="I432" s="93"/>
    </row>
    <row r="433" ht="14.25" customHeight="1" spans="2:9">
      <c r="B433" s="78"/>
      <c r="C433" s="79"/>
      <c r="E433" s="4"/>
      <c r="F433" s="80"/>
      <c r="G433" s="81"/>
      <c r="H433" s="81"/>
      <c r="I433" s="93"/>
    </row>
    <row r="434" ht="14.25" customHeight="1" spans="2:9">
      <c r="B434" s="78"/>
      <c r="C434" s="79"/>
      <c r="E434" s="4"/>
      <c r="F434" s="80"/>
      <c r="G434" s="81"/>
      <c r="H434" s="81"/>
      <c r="I434" s="93"/>
    </row>
    <row r="435" ht="14.25" customHeight="1" spans="2:9">
      <c r="B435" s="78"/>
      <c r="C435" s="79"/>
      <c r="E435" s="4"/>
      <c r="F435" s="80"/>
      <c r="G435" s="81"/>
      <c r="H435" s="81"/>
      <c r="I435" s="93"/>
    </row>
    <row r="436" ht="14.25" customHeight="1" spans="2:9">
      <c r="B436" s="78"/>
      <c r="C436" s="79"/>
      <c r="E436" s="4"/>
      <c r="F436" s="80"/>
      <c r="G436" s="81"/>
      <c r="H436" s="81"/>
      <c r="I436" s="93"/>
    </row>
    <row r="437" ht="14.25" customHeight="1" spans="2:9">
      <c r="B437" s="78"/>
      <c r="C437" s="79"/>
      <c r="E437" s="4"/>
      <c r="F437" s="80"/>
      <c r="G437" s="81"/>
      <c r="H437" s="81"/>
      <c r="I437" s="93"/>
    </row>
    <row r="438" ht="14.25" customHeight="1" spans="2:9">
      <c r="B438" s="78"/>
      <c r="C438" s="79"/>
      <c r="E438" s="4"/>
      <c r="F438" s="80"/>
      <c r="G438" s="81"/>
      <c r="H438" s="81"/>
      <c r="I438" s="93"/>
    </row>
    <row r="439" ht="14.25" customHeight="1" spans="2:9">
      <c r="B439" s="78"/>
      <c r="C439" s="79"/>
      <c r="E439" s="4"/>
      <c r="F439" s="80"/>
      <c r="G439" s="81"/>
      <c r="H439" s="81"/>
      <c r="I439" s="93"/>
    </row>
    <row r="440" ht="14.25" customHeight="1" spans="2:9">
      <c r="B440" s="78"/>
      <c r="C440" s="79"/>
      <c r="E440" s="4"/>
      <c r="F440" s="80"/>
      <c r="G440" s="81"/>
      <c r="H440" s="81"/>
      <c r="I440" s="93"/>
    </row>
    <row r="441" ht="14.25" customHeight="1" spans="2:9">
      <c r="B441" s="78"/>
      <c r="C441" s="79"/>
      <c r="E441" s="4"/>
      <c r="F441" s="80"/>
      <c r="G441" s="81"/>
      <c r="H441" s="81"/>
      <c r="I441" s="93"/>
    </row>
    <row r="442" ht="14.25" customHeight="1" spans="2:9">
      <c r="B442" s="78"/>
      <c r="C442" s="79"/>
      <c r="E442" s="4"/>
      <c r="F442" s="80"/>
      <c r="G442" s="81"/>
      <c r="H442" s="81"/>
      <c r="I442" s="93"/>
    </row>
    <row r="443" ht="14.25" customHeight="1" spans="2:9">
      <c r="B443" s="78"/>
      <c r="C443" s="79"/>
      <c r="E443" s="4"/>
      <c r="F443" s="80"/>
      <c r="G443" s="81"/>
      <c r="H443" s="81"/>
      <c r="I443" s="93"/>
    </row>
    <row r="444" ht="14.25" customHeight="1" spans="2:9">
      <c r="B444" s="78"/>
      <c r="C444" s="79"/>
      <c r="E444" s="4"/>
      <c r="F444" s="80"/>
      <c r="G444" s="81"/>
      <c r="H444" s="81"/>
      <c r="I444" s="93"/>
    </row>
    <row r="445" ht="14.25" customHeight="1" spans="2:9">
      <c r="B445" s="78"/>
      <c r="C445" s="79"/>
      <c r="E445" s="4"/>
      <c r="F445" s="80"/>
      <c r="G445" s="81"/>
      <c r="H445" s="81"/>
      <c r="I445" s="93"/>
    </row>
    <row r="446" ht="14.25" customHeight="1" spans="2:9">
      <c r="B446" s="78"/>
      <c r="C446" s="79"/>
      <c r="E446" s="4"/>
      <c r="F446" s="80"/>
      <c r="G446" s="81"/>
      <c r="H446" s="81"/>
      <c r="I446" s="93"/>
    </row>
    <row r="447" ht="14.25" customHeight="1" spans="2:9">
      <c r="B447" s="78"/>
      <c r="C447" s="79"/>
      <c r="E447" s="4"/>
      <c r="F447" s="80"/>
      <c r="G447" s="81"/>
      <c r="H447" s="81"/>
      <c r="I447" s="93"/>
    </row>
    <row r="448" ht="14.25" customHeight="1" spans="2:9">
      <c r="B448" s="78"/>
      <c r="C448" s="79"/>
      <c r="E448" s="4"/>
      <c r="F448" s="80"/>
      <c r="G448" s="81"/>
      <c r="H448" s="81"/>
      <c r="I448" s="93"/>
    </row>
    <row r="449" ht="14.25" customHeight="1" spans="2:9">
      <c r="B449" s="78"/>
      <c r="C449" s="79"/>
      <c r="E449" s="4"/>
      <c r="F449" s="80"/>
      <c r="G449" s="81"/>
      <c r="H449" s="81"/>
      <c r="I449" s="93"/>
    </row>
    <row r="450" ht="14.25" customHeight="1" spans="2:9">
      <c r="B450" s="78"/>
      <c r="C450" s="79"/>
      <c r="E450" s="4"/>
      <c r="F450" s="80"/>
      <c r="G450" s="81"/>
      <c r="H450" s="81"/>
      <c r="I450" s="93"/>
    </row>
    <row r="451" ht="14.25" customHeight="1" spans="2:9">
      <c r="B451" s="78"/>
      <c r="C451" s="79"/>
      <c r="E451" s="4"/>
      <c r="F451" s="80"/>
      <c r="G451" s="81"/>
      <c r="H451" s="81"/>
      <c r="I451" s="93"/>
    </row>
    <row r="452" ht="14.25" customHeight="1" spans="2:9">
      <c r="B452" s="78"/>
      <c r="C452" s="79"/>
      <c r="E452" s="4"/>
      <c r="F452" s="80"/>
      <c r="G452" s="81"/>
      <c r="H452" s="81"/>
      <c r="I452" s="93"/>
    </row>
    <row r="453" ht="14.25" customHeight="1" spans="2:9">
      <c r="B453" s="78"/>
      <c r="C453" s="79"/>
      <c r="E453" s="4"/>
      <c r="F453" s="80"/>
      <c r="G453" s="81"/>
      <c r="H453" s="81"/>
      <c r="I453" s="93"/>
    </row>
    <row r="454" ht="14.25" customHeight="1" spans="2:9">
      <c r="B454" s="78"/>
      <c r="C454" s="79"/>
      <c r="E454" s="4"/>
      <c r="F454" s="80"/>
      <c r="G454" s="81"/>
      <c r="H454" s="81"/>
      <c r="I454" s="93"/>
    </row>
    <row r="455" ht="14.25" customHeight="1" spans="2:9">
      <c r="B455" s="78"/>
      <c r="C455" s="79"/>
      <c r="E455" s="4"/>
      <c r="F455" s="80"/>
      <c r="G455" s="81"/>
      <c r="H455" s="81"/>
      <c r="I455" s="93"/>
    </row>
    <row r="456" ht="14.25" customHeight="1" spans="2:9">
      <c r="B456" s="78"/>
      <c r="C456" s="79"/>
      <c r="E456" s="4"/>
      <c r="F456" s="80"/>
      <c r="G456" s="81"/>
      <c r="H456" s="81"/>
      <c r="I456" s="93"/>
    </row>
    <row r="457" ht="14.25" customHeight="1" spans="2:9">
      <c r="B457" s="78"/>
      <c r="C457" s="79"/>
      <c r="E457" s="4"/>
      <c r="F457" s="80"/>
      <c r="G457" s="81"/>
      <c r="H457" s="81"/>
      <c r="I457" s="93"/>
    </row>
    <row r="458" ht="14.25" customHeight="1" spans="2:9">
      <c r="B458" s="78"/>
      <c r="C458" s="79"/>
      <c r="E458" s="4"/>
      <c r="F458" s="80"/>
      <c r="G458" s="81"/>
      <c r="H458" s="81"/>
      <c r="I458" s="93"/>
    </row>
    <row r="459" ht="14.25" customHeight="1" spans="2:9">
      <c r="B459" s="78"/>
      <c r="C459" s="79"/>
      <c r="E459" s="4"/>
      <c r="F459" s="80"/>
      <c r="G459" s="81"/>
      <c r="H459" s="81"/>
      <c r="I459" s="93"/>
    </row>
    <row r="460" ht="14.25" customHeight="1" spans="2:9">
      <c r="B460" s="78"/>
      <c r="C460" s="79"/>
      <c r="E460" s="4"/>
      <c r="F460" s="80"/>
      <c r="G460" s="81"/>
      <c r="H460" s="81"/>
      <c r="I460" s="93"/>
    </row>
    <row r="461" ht="14.25" customHeight="1" spans="2:9">
      <c r="B461" s="78"/>
      <c r="C461" s="79"/>
      <c r="E461" s="4"/>
      <c r="F461" s="80"/>
      <c r="G461" s="81"/>
      <c r="H461" s="81"/>
      <c r="I461" s="93"/>
    </row>
    <row r="462" ht="14.25" customHeight="1" spans="2:9">
      <c r="B462" s="78"/>
      <c r="C462" s="79"/>
      <c r="E462" s="4"/>
      <c r="F462" s="80"/>
      <c r="G462" s="81"/>
      <c r="H462" s="81"/>
      <c r="I462" s="93"/>
    </row>
    <row r="463" ht="14.25" customHeight="1" spans="2:9">
      <c r="B463" s="78"/>
      <c r="C463" s="79"/>
      <c r="E463" s="4"/>
      <c r="F463" s="80"/>
      <c r="G463" s="81"/>
      <c r="H463" s="81"/>
      <c r="I463" s="93"/>
    </row>
    <row r="464" ht="14.25" customHeight="1" spans="2:9">
      <c r="B464" s="78"/>
      <c r="C464" s="79"/>
      <c r="E464" s="4"/>
      <c r="F464" s="80"/>
      <c r="G464" s="81"/>
      <c r="H464" s="81"/>
      <c r="I464" s="93"/>
    </row>
    <row r="465" ht="14.25" customHeight="1" spans="2:9">
      <c r="B465" s="78"/>
      <c r="C465" s="79"/>
      <c r="E465" s="4"/>
      <c r="F465" s="80"/>
      <c r="G465" s="81"/>
      <c r="H465" s="81"/>
      <c r="I465" s="93"/>
    </row>
    <row r="466" ht="14.25" customHeight="1" spans="2:9">
      <c r="B466" s="78"/>
      <c r="C466" s="79"/>
      <c r="E466" s="4"/>
      <c r="F466" s="80"/>
      <c r="G466" s="81"/>
      <c r="H466" s="81"/>
      <c r="I466" s="93"/>
    </row>
    <row r="467" ht="14.25" customHeight="1" spans="2:9">
      <c r="B467" s="78"/>
      <c r="C467" s="79"/>
      <c r="E467" s="4"/>
      <c r="F467" s="80"/>
      <c r="G467" s="81"/>
      <c r="H467" s="81"/>
      <c r="I467" s="93"/>
    </row>
    <row r="468" ht="14.25" customHeight="1" spans="2:9">
      <c r="B468" s="78"/>
      <c r="C468" s="79"/>
      <c r="E468" s="4"/>
      <c r="F468" s="80"/>
      <c r="G468" s="81"/>
      <c r="H468" s="81"/>
      <c r="I468" s="93"/>
    </row>
    <row r="469" ht="14.25" customHeight="1" spans="2:9">
      <c r="B469" s="78"/>
      <c r="C469" s="79"/>
      <c r="E469" s="4"/>
      <c r="F469" s="80"/>
      <c r="G469" s="81"/>
      <c r="H469" s="81"/>
      <c r="I469" s="93"/>
    </row>
    <row r="470" ht="14.25" customHeight="1" spans="2:9">
      <c r="B470" s="78"/>
      <c r="C470" s="79"/>
      <c r="E470" s="4"/>
      <c r="F470" s="80"/>
      <c r="G470" s="81"/>
      <c r="H470" s="81"/>
      <c r="I470" s="93"/>
    </row>
    <row r="471" ht="14.25" customHeight="1" spans="2:9">
      <c r="B471" s="78"/>
      <c r="C471" s="79"/>
      <c r="E471" s="4"/>
      <c r="F471" s="80"/>
      <c r="G471" s="81"/>
      <c r="H471" s="81"/>
      <c r="I471" s="93"/>
    </row>
    <row r="472" ht="14.25" customHeight="1" spans="2:9">
      <c r="B472" s="78"/>
      <c r="C472" s="79"/>
      <c r="E472" s="4"/>
      <c r="F472" s="80"/>
      <c r="G472" s="81"/>
      <c r="H472" s="81"/>
      <c r="I472" s="93"/>
    </row>
    <row r="473" ht="14.25" customHeight="1" spans="2:9">
      <c r="B473" s="78"/>
      <c r="C473" s="79"/>
      <c r="E473" s="4"/>
      <c r="F473" s="80"/>
      <c r="G473" s="81"/>
      <c r="H473" s="81"/>
      <c r="I473" s="93"/>
    </row>
    <row r="474" ht="14.25" customHeight="1" spans="2:9">
      <c r="B474" s="78"/>
      <c r="C474" s="79"/>
      <c r="E474" s="4"/>
      <c r="F474" s="80"/>
      <c r="G474" s="81"/>
      <c r="H474" s="81"/>
      <c r="I474" s="93"/>
    </row>
    <row r="475" ht="14.25" customHeight="1" spans="2:9">
      <c r="B475" s="78"/>
      <c r="C475" s="79"/>
      <c r="E475" s="4"/>
      <c r="F475" s="80"/>
      <c r="G475" s="81"/>
      <c r="H475" s="81"/>
      <c r="I475" s="93"/>
    </row>
    <row r="476" ht="14.25" customHeight="1" spans="2:9">
      <c r="B476" s="78"/>
      <c r="C476" s="79"/>
      <c r="E476" s="4"/>
      <c r="F476" s="80"/>
      <c r="G476" s="81"/>
      <c r="H476" s="81"/>
      <c r="I476" s="93"/>
    </row>
    <row r="477" ht="14.25" customHeight="1" spans="2:9">
      <c r="B477" s="78"/>
      <c r="C477" s="79"/>
      <c r="E477" s="4"/>
      <c r="F477" s="80"/>
      <c r="G477" s="81"/>
      <c r="H477" s="81"/>
      <c r="I477" s="93"/>
    </row>
    <row r="478" ht="14.25" customHeight="1" spans="2:9">
      <c r="B478" s="78"/>
      <c r="C478" s="79"/>
      <c r="E478" s="4"/>
      <c r="F478" s="80"/>
      <c r="G478" s="81"/>
      <c r="H478" s="81"/>
      <c r="I478" s="93"/>
    </row>
    <row r="479" ht="14.25" customHeight="1" spans="2:9">
      <c r="B479" s="78"/>
      <c r="C479" s="79"/>
      <c r="E479" s="4"/>
      <c r="F479" s="80"/>
      <c r="G479" s="81"/>
      <c r="H479" s="81"/>
      <c r="I479" s="93"/>
    </row>
    <row r="480" ht="14.25" customHeight="1" spans="2:9">
      <c r="B480" s="78"/>
      <c r="C480" s="79"/>
      <c r="E480" s="4"/>
      <c r="F480" s="80"/>
      <c r="G480" s="81"/>
      <c r="H480" s="81"/>
      <c r="I480" s="93"/>
    </row>
    <row r="481" ht="14.25" customHeight="1" spans="2:9">
      <c r="B481" s="78"/>
      <c r="C481" s="79"/>
      <c r="E481" s="4"/>
      <c r="F481" s="80"/>
      <c r="G481" s="81"/>
      <c r="H481" s="81"/>
      <c r="I481" s="93"/>
    </row>
    <row r="482" ht="14.25" customHeight="1" spans="2:9">
      <c r="B482" s="78"/>
      <c r="C482" s="79"/>
      <c r="E482" s="4"/>
      <c r="F482" s="80"/>
      <c r="G482" s="81"/>
      <c r="H482" s="81"/>
      <c r="I482" s="93"/>
    </row>
    <row r="483" ht="14.25" customHeight="1" spans="2:9">
      <c r="B483" s="78"/>
      <c r="C483" s="79"/>
      <c r="E483" s="4"/>
      <c r="F483" s="80"/>
      <c r="G483" s="81"/>
      <c r="H483" s="81"/>
      <c r="I483" s="93"/>
    </row>
    <row r="484" ht="14.25" customHeight="1" spans="2:9">
      <c r="B484" s="78"/>
      <c r="C484" s="79"/>
      <c r="E484" s="4"/>
      <c r="F484" s="80"/>
      <c r="G484" s="81"/>
      <c r="H484" s="81"/>
      <c r="I484" s="93"/>
    </row>
    <row r="485" ht="14.25" customHeight="1" spans="2:9">
      <c r="B485" s="78"/>
      <c r="C485" s="79"/>
      <c r="E485" s="4"/>
      <c r="F485" s="80"/>
      <c r="G485" s="81"/>
      <c r="H485" s="81"/>
      <c r="I485" s="93"/>
    </row>
    <row r="486" ht="14.25" customHeight="1" spans="2:9">
      <c r="B486" s="78"/>
      <c r="C486" s="79"/>
      <c r="E486" s="4"/>
      <c r="F486" s="80"/>
      <c r="G486" s="81"/>
      <c r="H486" s="81"/>
      <c r="I486" s="93"/>
    </row>
    <row r="487" ht="14.25" customHeight="1" spans="2:9">
      <c r="B487" s="78"/>
      <c r="C487" s="79"/>
      <c r="E487" s="4"/>
      <c r="F487" s="80"/>
      <c r="G487" s="81"/>
      <c r="H487" s="81"/>
      <c r="I487" s="93"/>
    </row>
    <row r="488" ht="14.25" customHeight="1" spans="2:9">
      <c r="B488" s="78"/>
      <c r="C488" s="79"/>
      <c r="E488" s="4"/>
      <c r="F488" s="80"/>
      <c r="G488" s="81"/>
      <c r="H488" s="81"/>
      <c r="I488" s="93"/>
    </row>
    <row r="489" ht="14.25" customHeight="1" spans="2:9">
      <c r="B489" s="78"/>
      <c r="C489" s="79"/>
      <c r="E489" s="4"/>
      <c r="F489" s="80"/>
      <c r="G489" s="81"/>
      <c r="H489" s="81"/>
      <c r="I489" s="93"/>
    </row>
    <row r="490" ht="14.25" customHeight="1" spans="2:9">
      <c r="B490" s="78"/>
      <c r="C490" s="79"/>
      <c r="E490" s="4"/>
      <c r="F490" s="80"/>
      <c r="G490" s="81"/>
      <c r="H490" s="81"/>
      <c r="I490" s="93"/>
    </row>
    <row r="491" ht="14.25" customHeight="1" spans="2:9">
      <c r="B491" s="78"/>
      <c r="C491" s="79"/>
      <c r="E491" s="4"/>
      <c r="F491" s="80"/>
      <c r="G491" s="81"/>
      <c r="H491" s="81"/>
      <c r="I491" s="93"/>
    </row>
    <row r="492" ht="14.25" customHeight="1" spans="2:9">
      <c r="B492" s="78"/>
      <c r="C492" s="79"/>
      <c r="E492" s="4"/>
      <c r="F492" s="80"/>
      <c r="G492" s="81"/>
      <c r="H492" s="81"/>
      <c r="I492" s="93"/>
    </row>
    <row r="493" ht="14.25" customHeight="1" spans="2:9">
      <c r="B493" s="78"/>
      <c r="C493" s="79"/>
      <c r="E493" s="4"/>
      <c r="F493" s="80"/>
      <c r="G493" s="81"/>
      <c r="H493" s="81"/>
      <c r="I493" s="93"/>
    </row>
    <row r="494" ht="14.25" customHeight="1" spans="2:9">
      <c r="B494" s="78"/>
      <c r="C494" s="79"/>
      <c r="E494" s="4"/>
      <c r="F494" s="80"/>
      <c r="G494" s="81"/>
      <c r="H494" s="81"/>
      <c r="I494" s="93"/>
    </row>
    <row r="495" ht="14.25" customHeight="1" spans="2:9">
      <c r="B495" s="78"/>
      <c r="C495" s="79"/>
      <c r="E495" s="4"/>
      <c r="F495" s="80"/>
      <c r="G495" s="81"/>
      <c r="H495" s="81"/>
      <c r="I495" s="93"/>
    </row>
    <row r="496" ht="14.25" customHeight="1" spans="2:9">
      <c r="B496" s="78"/>
      <c r="C496" s="79"/>
      <c r="E496" s="4"/>
      <c r="F496" s="80"/>
      <c r="G496" s="81"/>
      <c r="H496" s="81"/>
      <c r="I496" s="93"/>
    </row>
    <row r="497" ht="14.25" customHeight="1" spans="2:9">
      <c r="B497" s="78"/>
      <c r="C497" s="79"/>
      <c r="E497" s="4"/>
      <c r="F497" s="80"/>
      <c r="G497" s="81"/>
      <c r="H497" s="81"/>
      <c r="I497" s="93"/>
    </row>
    <row r="498" ht="14.25" customHeight="1" spans="2:9">
      <c r="B498" s="78"/>
      <c r="C498" s="79"/>
      <c r="E498" s="4"/>
      <c r="F498" s="80"/>
      <c r="G498" s="81"/>
      <c r="H498" s="81"/>
      <c r="I498" s="93"/>
    </row>
    <row r="499" ht="14.25" customHeight="1" spans="2:9">
      <c r="B499" s="78"/>
      <c r="C499" s="79"/>
      <c r="E499" s="4"/>
      <c r="F499" s="80"/>
      <c r="G499" s="81"/>
      <c r="H499" s="81"/>
      <c r="I499" s="93"/>
    </row>
    <row r="500" ht="14.25" customHeight="1" spans="2:9">
      <c r="B500" s="78"/>
      <c r="C500" s="79"/>
      <c r="E500" s="4"/>
      <c r="F500" s="80"/>
      <c r="G500" s="81"/>
      <c r="H500" s="81"/>
      <c r="I500" s="93"/>
    </row>
    <row r="501" ht="14.25" customHeight="1" spans="2:9">
      <c r="B501" s="78"/>
      <c r="C501" s="79"/>
      <c r="E501" s="4"/>
      <c r="F501" s="80"/>
      <c r="G501" s="81"/>
      <c r="H501" s="81"/>
      <c r="I501" s="93"/>
    </row>
    <row r="502" ht="14.25" customHeight="1" spans="2:9">
      <c r="B502" s="78"/>
      <c r="C502" s="79"/>
      <c r="E502" s="4"/>
      <c r="F502" s="80"/>
      <c r="G502" s="81"/>
      <c r="H502" s="81"/>
      <c r="I502" s="93"/>
    </row>
    <row r="503" ht="14.25" customHeight="1" spans="2:9">
      <c r="B503" s="78"/>
      <c r="C503" s="79"/>
      <c r="E503" s="4"/>
      <c r="F503" s="80"/>
      <c r="G503" s="81"/>
      <c r="H503" s="81"/>
      <c r="I503" s="93"/>
    </row>
    <row r="504" ht="14.25" customHeight="1" spans="2:9">
      <c r="B504" s="78"/>
      <c r="C504" s="79"/>
      <c r="E504" s="4"/>
      <c r="F504" s="80"/>
      <c r="G504" s="81"/>
      <c r="H504" s="81"/>
      <c r="I504" s="93"/>
    </row>
    <row r="505" ht="14.25" customHeight="1" spans="2:9">
      <c r="B505" s="78"/>
      <c r="C505" s="79"/>
      <c r="E505" s="4"/>
      <c r="F505" s="80"/>
      <c r="G505" s="81"/>
      <c r="H505" s="81"/>
      <c r="I505" s="93"/>
    </row>
    <row r="506" ht="14.25" customHeight="1" spans="2:9">
      <c r="B506" s="78"/>
      <c r="C506" s="79"/>
      <c r="E506" s="4"/>
      <c r="F506" s="80"/>
      <c r="G506" s="81"/>
      <c r="H506" s="81"/>
      <c r="I506" s="93"/>
    </row>
    <row r="507" ht="14.25" customHeight="1" spans="2:9">
      <c r="B507" s="78"/>
      <c r="C507" s="79"/>
      <c r="E507" s="4"/>
      <c r="F507" s="80"/>
      <c r="G507" s="81"/>
      <c r="H507" s="81"/>
      <c r="I507" s="93"/>
    </row>
    <row r="508" ht="14.25" customHeight="1" spans="2:9">
      <c r="B508" s="78"/>
      <c r="C508" s="79"/>
      <c r="E508" s="4"/>
      <c r="F508" s="80"/>
      <c r="G508" s="81"/>
      <c r="H508" s="81"/>
      <c r="I508" s="93"/>
    </row>
    <row r="509" ht="14.25" customHeight="1" spans="2:9">
      <c r="B509" s="78"/>
      <c r="C509" s="79"/>
      <c r="E509" s="4"/>
      <c r="F509" s="80"/>
      <c r="G509" s="81"/>
      <c r="H509" s="81"/>
      <c r="I509" s="93"/>
    </row>
    <row r="510" ht="14.25" customHeight="1" spans="2:9">
      <c r="B510" s="78"/>
      <c r="C510" s="79"/>
      <c r="E510" s="4"/>
      <c r="F510" s="80"/>
      <c r="G510" s="81"/>
      <c r="H510" s="81"/>
      <c r="I510" s="93"/>
    </row>
    <row r="511" ht="14.25" customHeight="1" spans="2:9">
      <c r="B511" s="78"/>
      <c r="C511" s="79"/>
      <c r="E511" s="4"/>
      <c r="F511" s="80"/>
      <c r="G511" s="81"/>
      <c r="H511" s="81"/>
      <c r="I511" s="93"/>
    </row>
    <row r="512" ht="14.25" customHeight="1" spans="2:9">
      <c r="B512" s="78"/>
      <c r="C512" s="79"/>
      <c r="E512" s="4"/>
      <c r="F512" s="80"/>
      <c r="G512" s="81"/>
      <c r="H512" s="81"/>
      <c r="I512" s="93"/>
    </row>
    <row r="513" ht="14.25" customHeight="1" spans="2:9">
      <c r="B513" s="78"/>
      <c r="C513" s="79"/>
      <c r="E513" s="4"/>
      <c r="F513" s="80"/>
      <c r="G513" s="81"/>
      <c r="H513" s="81"/>
      <c r="I513" s="93"/>
    </row>
    <row r="514" ht="14.25" customHeight="1" spans="2:9">
      <c r="B514" s="78"/>
      <c r="C514" s="79"/>
      <c r="E514" s="4"/>
      <c r="F514" s="80"/>
      <c r="G514" s="81"/>
      <c r="H514" s="81"/>
      <c r="I514" s="93"/>
    </row>
    <row r="515" ht="14.25" customHeight="1" spans="2:9">
      <c r="B515" s="78"/>
      <c r="C515" s="79"/>
      <c r="E515" s="4"/>
      <c r="F515" s="80"/>
      <c r="G515" s="81"/>
      <c r="H515" s="81"/>
      <c r="I515" s="93"/>
    </row>
    <row r="516" ht="14.25" customHeight="1" spans="2:9">
      <c r="B516" s="78"/>
      <c r="C516" s="79"/>
      <c r="E516" s="4"/>
      <c r="F516" s="80"/>
      <c r="G516" s="81"/>
      <c r="H516" s="81"/>
      <c r="I516" s="93"/>
    </row>
    <row r="517" ht="14.25" customHeight="1" spans="2:9">
      <c r="B517" s="78"/>
      <c r="C517" s="79"/>
      <c r="E517" s="4"/>
      <c r="F517" s="80"/>
      <c r="G517" s="81"/>
      <c r="H517" s="81"/>
      <c r="I517" s="93"/>
    </row>
    <row r="518" ht="14.25" customHeight="1" spans="2:9">
      <c r="B518" s="78"/>
      <c r="C518" s="79"/>
      <c r="E518" s="4"/>
      <c r="F518" s="80"/>
      <c r="G518" s="81"/>
      <c r="H518" s="81"/>
      <c r="I518" s="93"/>
    </row>
    <row r="519" ht="14.25" customHeight="1" spans="2:9">
      <c r="B519" s="78"/>
      <c r="C519" s="79"/>
      <c r="E519" s="4"/>
      <c r="F519" s="80"/>
      <c r="G519" s="81"/>
      <c r="H519" s="81"/>
      <c r="I519" s="93"/>
    </row>
    <row r="520" ht="14.25" customHeight="1" spans="2:9">
      <c r="B520" s="78"/>
      <c r="C520" s="79"/>
      <c r="E520" s="4"/>
      <c r="F520" s="80"/>
      <c r="G520" s="81"/>
      <c r="H520" s="81"/>
      <c r="I520" s="93"/>
    </row>
    <row r="521" ht="14.25" customHeight="1" spans="2:9">
      <c r="B521" s="78"/>
      <c r="C521" s="79"/>
      <c r="E521" s="4"/>
      <c r="F521" s="80"/>
      <c r="G521" s="81"/>
      <c r="H521" s="81"/>
      <c r="I521" s="93"/>
    </row>
    <row r="522" ht="14.25" customHeight="1" spans="2:9">
      <c r="B522" s="78"/>
      <c r="C522" s="79"/>
      <c r="E522" s="4"/>
      <c r="F522" s="80"/>
      <c r="G522" s="81"/>
      <c r="H522" s="81"/>
      <c r="I522" s="93"/>
    </row>
    <row r="523" ht="14.25" customHeight="1" spans="2:9">
      <c r="B523" s="78"/>
      <c r="C523" s="79"/>
      <c r="E523" s="4"/>
      <c r="F523" s="80"/>
      <c r="G523" s="81"/>
      <c r="H523" s="81"/>
      <c r="I523" s="93"/>
    </row>
    <row r="524" ht="14.25" customHeight="1" spans="2:9">
      <c r="B524" s="78"/>
      <c r="C524" s="79"/>
      <c r="E524" s="4"/>
      <c r="F524" s="80"/>
      <c r="G524" s="81"/>
      <c r="H524" s="81"/>
      <c r="I524" s="93"/>
    </row>
    <row r="525" ht="14.25" customHeight="1" spans="2:9">
      <c r="B525" s="78"/>
      <c r="C525" s="79"/>
      <c r="E525" s="4"/>
      <c r="F525" s="80"/>
      <c r="G525" s="81"/>
      <c r="H525" s="81"/>
      <c r="I525" s="93"/>
    </row>
    <row r="526" ht="14.25" customHeight="1" spans="2:9">
      <c r="B526" s="78"/>
      <c r="C526" s="79"/>
      <c r="E526" s="4"/>
      <c r="F526" s="80"/>
      <c r="G526" s="81"/>
      <c r="H526" s="81"/>
      <c r="I526" s="93"/>
    </row>
    <row r="527" ht="14.25" customHeight="1" spans="2:9">
      <c r="B527" s="78"/>
      <c r="C527" s="79"/>
      <c r="E527" s="4"/>
      <c r="F527" s="80"/>
      <c r="G527" s="81"/>
      <c r="H527" s="81"/>
      <c r="I527" s="93"/>
    </row>
    <row r="528" ht="14.25" customHeight="1" spans="2:9">
      <c r="B528" s="78"/>
      <c r="C528" s="79"/>
      <c r="E528" s="4"/>
      <c r="F528" s="80"/>
      <c r="G528" s="81"/>
      <c r="H528" s="81"/>
      <c r="I528" s="93"/>
    </row>
    <row r="529" ht="14.25" customHeight="1" spans="2:9">
      <c r="B529" s="78"/>
      <c r="C529" s="79"/>
      <c r="E529" s="4"/>
      <c r="F529" s="80"/>
      <c r="G529" s="81"/>
      <c r="H529" s="81"/>
      <c r="I529" s="93"/>
    </row>
    <row r="530" ht="14.25" customHeight="1" spans="2:9">
      <c r="B530" s="78"/>
      <c r="C530" s="79"/>
      <c r="E530" s="4"/>
      <c r="F530" s="80"/>
      <c r="G530" s="81"/>
      <c r="H530" s="81"/>
      <c r="I530" s="93"/>
    </row>
    <row r="531" ht="14.25" customHeight="1" spans="2:9">
      <c r="B531" s="78"/>
      <c r="C531" s="79"/>
      <c r="E531" s="4"/>
      <c r="F531" s="80"/>
      <c r="G531" s="81"/>
      <c r="H531" s="81"/>
      <c r="I531" s="93"/>
    </row>
    <row r="532" ht="14.25" customHeight="1" spans="2:9">
      <c r="B532" s="78"/>
      <c r="C532" s="79"/>
      <c r="E532" s="4"/>
      <c r="F532" s="80"/>
      <c r="G532" s="81"/>
      <c r="H532" s="81"/>
      <c r="I532" s="93"/>
    </row>
    <row r="533" ht="14.25" customHeight="1" spans="2:9">
      <c r="B533" s="78"/>
      <c r="C533" s="79"/>
      <c r="E533" s="4"/>
      <c r="F533" s="80"/>
      <c r="G533" s="81"/>
      <c r="H533" s="81"/>
      <c r="I533" s="93"/>
    </row>
    <row r="534" ht="14.25" customHeight="1" spans="2:9">
      <c r="B534" s="78"/>
      <c r="C534" s="79"/>
      <c r="E534" s="4"/>
      <c r="F534" s="80"/>
      <c r="G534" s="81"/>
      <c r="H534" s="81"/>
      <c r="I534" s="93"/>
    </row>
    <row r="535" ht="14.25" customHeight="1" spans="2:9">
      <c r="B535" s="78"/>
      <c r="C535" s="79"/>
      <c r="E535" s="4"/>
      <c r="F535" s="80"/>
      <c r="G535" s="81"/>
      <c r="H535" s="81"/>
      <c r="I535" s="93"/>
    </row>
    <row r="536" ht="14.25" customHeight="1" spans="2:9">
      <c r="B536" s="78"/>
      <c r="C536" s="79"/>
      <c r="E536" s="4"/>
      <c r="F536" s="80"/>
      <c r="G536" s="81"/>
      <c r="H536" s="81"/>
      <c r="I536" s="93"/>
    </row>
    <row r="537" ht="14.25" customHeight="1" spans="2:9">
      <c r="B537" s="78"/>
      <c r="C537" s="79"/>
      <c r="E537" s="4"/>
      <c r="F537" s="80"/>
      <c r="G537" s="81"/>
      <c r="H537" s="81"/>
      <c r="I537" s="93"/>
    </row>
    <row r="538" ht="14.25" customHeight="1" spans="2:9">
      <c r="B538" s="78"/>
      <c r="C538" s="79"/>
      <c r="E538" s="4"/>
      <c r="F538" s="80"/>
      <c r="G538" s="81"/>
      <c r="H538" s="81"/>
      <c r="I538" s="93"/>
    </row>
    <row r="539" ht="14.25" customHeight="1" spans="2:9">
      <c r="B539" s="78"/>
      <c r="C539" s="79"/>
      <c r="E539" s="4"/>
      <c r="F539" s="80"/>
      <c r="G539" s="81"/>
      <c r="H539" s="81"/>
      <c r="I539" s="93"/>
    </row>
    <row r="540" ht="14.25" customHeight="1" spans="2:9">
      <c r="B540" s="78"/>
      <c r="C540" s="79"/>
      <c r="E540" s="4"/>
      <c r="F540" s="80"/>
      <c r="G540" s="81"/>
      <c r="H540" s="81"/>
      <c r="I540" s="93"/>
    </row>
    <row r="541" ht="14.25" customHeight="1" spans="2:9">
      <c r="B541" s="78"/>
      <c r="C541" s="79"/>
      <c r="E541" s="4"/>
      <c r="F541" s="80"/>
      <c r="G541" s="81"/>
      <c r="H541" s="81"/>
      <c r="I541" s="93"/>
    </row>
    <row r="542" ht="14.25" customHeight="1" spans="2:9">
      <c r="B542" s="78"/>
      <c r="C542" s="79"/>
      <c r="E542" s="4"/>
      <c r="F542" s="80"/>
      <c r="G542" s="81"/>
      <c r="H542" s="81"/>
      <c r="I542" s="93"/>
    </row>
    <row r="543" ht="14.25" customHeight="1" spans="2:9">
      <c r="B543" s="78"/>
      <c r="C543" s="79"/>
      <c r="E543" s="4"/>
      <c r="F543" s="80"/>
      <c r="G543" s="81"/>
      <c r="H543" s="81"/>
      <c r="I543" s="93"/>
    </row>
    <row r="544" ht="14.25" customHeight="1" spans="2:9">
      <c r="B544" s="78"/>
      <c r="C544" s="79"/>
      <c r="E544" s="4"/>
      <c r="F544" s="80"/>
      <c r="G544" s="81"/>
      <c r="H544" s="81"/>
      <c r="I544" s="93"/>
    </row>
    <row r="545" ht="14.25" customHeight="1" spans="2:9">
      <c r="B545" s="78"/>
      <c r="C545" s="79"/>
      <c r="E545" s="4"/>
      <c r="F545" s="80"/>
      <c r="G545" s="81"/>
      <c r="H545" s="81"/>
      <c r="I545" s="93"/>
    </row>
    <row r="546" ht="14.25" customHeight="1" spans="2:9">
      <c r="B546" s="78"/>
      <c r="C546" s="79"/>
      <c r="E546" s="4"/>
      <c r="F546" s="80"/>
      <c r="G546" s="81"/>
      <c r="H546" s="81"/>
      <c r="I546" s="93"/>
    </row>
    <row r="547" ht="14.25" customHeight="1" spans="2:9">
      <c r="B547" s="78"/>
      <c r="C547" s="79"/>
      <c r="E547" s="4"/>
      <c r="F547" s="80"/>
      <c r="G547" s="81"/>
      <c r="H547" s="81"/>
      <c r="I547" s="93"/>
    </row>
    <row r="548" ht="14.25" customHeight="1" spans="2:9">
      <c r="B548" s="78"/>
      <c r="C548" s="79"/>
      <c r="E548" s="4"/>
      <c r="F548" s="80"/>
      <c r="G548" s="81"/>
      <c r="H548" s="81"/>
      <c r="I548" s="93"/>
    </row>
    <row r="549" ht="14.25" customHeight="1" spans="2:9">
      <c r="B549" s="78"/>
      <c r="C549" s="79"/>
      <c r="E549" s="4"/>
      <c r="F549" s="80"/>
      <c r="G549" s="81"/>
      <c r="H549" s="81"/>
      <c r="I549" s="93"/>
    </row>
    <row r="550" ht="14.25" customHeight="1" spans="2:9">
      <c r="B550" s="78"/>
      <c r="C550" s="79"/>
      <c r="E550" s="4"/>
      <c r="F550" s="80"/>
      <c r="G550" s="81"/>
      <c r="H550" s="81"/>
      <c r="I550" s="93"/>
    </row>
    <row r="551" ht="14.25" customHeight="1" spans="2:9">
      <c r="B551" s="78"/>
      <c r="C551" s="79"/>
      <c r="E551" s="4"/>
      <c r="F551" s="80"/>
      <c r="G551" s="81"/>
      <c r="H551" s="81"/>
      <c r="I551" s="93"/>
    </row>
    <row r="552" ht="14.25" customHeight="1" spans="2:9">
      <c r="B552" s="78"/>
      <c r="C552" s="79"/>
      <c r="E552" s="4"/>
      <c r="F552" s="80"/>
      <c r="G552" s="81"/>
      <c r="H552" s="81"/>
      <c r="I552" s="93"/>
    </row>
    <row r="553" ht="14.25" customHeight="1" spans="2:9">
      <c r="B553" s="78"/>
      <c r="C553" s="79"/>
      <c r="E553" s="4"/>
      <c r="F553" s="80"/>
      <c r="G553" s="81"/>
      <c r="H553" s="81"/>
      <c r="I553" s="93"/>
    </row>
    <row r="554" ht="14.25" customHeight="1" spans="2:9">
      <c r="B554" s="78"/>
      <c r="C554" s="79"/>
      <c r="E554" s="4"/>
      <c r="F554" s="80"/>
      <c r="G554" s="81"/>
      <c r="H554" s="81"/>
      <c r="I554" s="93"/>
    </row>
    <row r="555" ht="14.25" customHeight="1" spans="2:9">
      <c r="B555" s="78"/>
      <c r="C555" s="79"/>
      <c r="E555" s="4"/>
      <c r="F555" s="80"/>
      <c r="G555" s="81"/>
      <c r="H555" s="81"/>
      <c r="I555" s="93"/>
    </row>
    <row r="556" ht="14.25" customHeight="1" spans="2:9">
      <c r="B556" s="78"/>
      <c r="C556" s="79"/>
      <c r="E556" s="4"/>
      <c r="F556" s="80"/>
      <c r="G556" s="81"/>
      <c r="H556" s="81"/>
      <c r="I556" s="93"/>
    </row>
    <row r="557" ht="14.25" customHeight="1" spans="2:9">
      <c r="B557" s="78"/>
      <c r="C557" s="79"/>
      <c r="E557" s="4"/>
      <c r="F557" s="80"/>
      <c r="G557" s="81"/>
      <c r="H557" s="81"/>
      <c r="I557" s="93"/>
    </row>
    <row r="558" ht="14.25" customHeight="1" spans="2:9">
      <c r="B558" s="78"/>
      <c r="C558" s="79"/>
      <c r="E558" s="4"/>
      <c r="F558" s="80"/>
      <c r="G558" s="81"/>
      <c r="H558" s="81"/>
      <c r="I558" s="93"/>
    </row>
    <row r="559" ht="14.25" customHeight="1" spans="2:9">
      <c r="B559" s="78"/>
      <c r="C559" s="79"/>
      <c r="E559" s="4"/>
      <c r="F559" s="80"/>
      <c r="G559" s="81"/>
      <c r="H559" s="81"/>
      <c r="I559" s="93"/>
    </row>
    <row r="560" ht="14.25" customHeight="1" spans="2:9">
      <c r="B560" s="78"/>
      <c r="C560" s="79"/>
      <c r="E560" s="4"/>
      <c r="F560" s="80"/>
      <c r="G560" s="81"/>
      <c r="H560" s="81"/>
      <c r="I560" s="93"/>
    </row>
    <row r="561" ht="14.25" customHeight="1" spans="2:9">
      <c r="B561" s="78"/>
      <c r="C561" s="79"/>
      <c r="E561" s="4"/>
      <c r="F561" s="80"/>
      <c r="G561" s="81"/>
      <c r="H561" s="81"/>
      <c r="I561" s="93"/>
    </row>
    <row r="562" ht="14.25" customHeight="1" spans="2:9">
      <c r="B562" s="78"/>
      <c r="C562" s="79"/>
      <c r="E562" s="4"/>
      <c r="F562" s="80"/>
      <c r="G562" s="81"/>
      <c r="H562" s="81"/>
      <c r="I562" s="93"/>
    </row>
    <row r="563" ht="14.25" customHeight="1" spans="2:9">
      <c r="B563" s="78"/>
      <c r="C563" s="79"/>
      <c r="E563" s="4"/>
      <c r="F563" s="80"/>
      <c r="G563" s="81"/>
      <c r="H563" s="81"/>
      <c r="I563" s="93"/>
    </row>
    <row r="564" ht="14.25" customHeight="1" spans="2:9">
      <c r="B564" s="78"/>
      <c r="C564" s="79"/>
      <c r="E564" s="4"/>
      <c r="F564" s="80"/>
      <c r="G564" s="81"/>
      <c r="H564" s="81"/>
      <c r="I564" s="93"/>
    </row>
    <row r="565" ht="14.25" customHeight="1" spans="2:9">
      <c r="B565" s="78"/>
      <c r="C565" s="79"/>
      <c r="E565" s="4"/>
      <c r="F565" s="80"/>
      <c r="G565" s="81"/>
      <c r="H565" s="81"/>
      <c r="I565" s="93"/>
    </row>
    <row r="566" ht="14.25" customHeight="1" spans="2:9">
      <c r="B566" s="78"/>
      <c r="C566" s="79"/>
      <c r="E566" s="4"/>
      <c r="F566" s="80"/>
      <c r="G566" s="81"/>
      <c r="H566" s="81"/>
      <c r="I566" s="93"/>
    </row>
    <row r="567" ht="14.25" customHeight="1" spans="2:9">
      <c r="B567" s="78"/>
      <c r="C567" s="79"/>
      <c r="E567" s="4"/>
      <c r="F567" s="80"/>
      <c r="G567" s="81"/>
      <c r="H567" s="81"/>
      <c r="I567" s="93"/>
    </row>
    <row r="568" ht="14.25" customHeight="1" spans="2:9">
      <c r="B568" s="78"/>
      <c r="C568" s="79"/>
      <c r="E568" s="4"/>
      <c r="F568" s="80"/>
      <c r="G568" s="81"/>
      <c r="H568" s="81"/>
      <c r="I568" s="93"/>
    </row>
    <row r="569" ht="14.25" customHeight="1" spans="2:9">
      <c r="B569" s="78"/>
      <c r="C569" s="79"/>
      <c r="E569" s="4"/>
      <c r="F569" s="80"/>
      <c r="G569" s="81"/>
      <c r="H569" s="81"/>
      <c r="I569" s="93"/>
    </row>
    <row r="570" ht="14.25" customHeight="1" spans="2:9">
      <c r="B570" s="78"/>
      <c r="C570" s="79"/>
      <c r="E570" s="4"/>
      <c r="F570" s="80"/>
      <c r="G570" s="81"/>
      <c r="H570" s="81"/>
      <c r="I570" s="93"/>
    </row>
    <row r="571" ht="14.25" customHeight="1" spans="2:9">
      <c r="B571" s="78"/>
      <c r="C571" s="79"/>
      <c r="E571" s="4"/>
      <c r="F571" s="80"/>
      <c r="G571" s="81"/>
      <c r="H571" s="81"/>
      <c r="I571" s="93"/>
    </row>
    <row r="572" ht="14.25" customHeight="1" spans="2:9">
      <c r="B572" s="78"/>
      <c r="C572" s="79"/>
      <c r="E572" s="4"/>
      <c r="F572" s="80"/>
      <c r="G572" s="81"/>
      <c r="H572" s="81"/>
      <c r="I572" s="93"/>
    </row>
    <row r="573" ht="14.25" customHeight="1" spans="2:9">
      <c r="B573" s="78"/>
      <c r="C573" s="79"/>
      <c r="E573" s="4"/>
      <c r="F573" s="80"/>
      <c r="G573" s="81"/>
      <c r="H573" s="81"/>
      <c r="I573" s="93"/>
    </row>
    <row r="574" ht="14.25" customHeight="1" spans="2:9">
      <c r="B574" s="78"/>
      <c r="C574" s="79"/>
      <c r="E574" s="4"/>
      <c r="F574" s="80"/>
      <c r="G574" s="81"/>
      <c r="H574" s="81"/>
      <c r="I574" s="93"/>
    </row>
    <row r="575" ht="14.25" customHeight="1" spans="2:9">
      <c r="B575" s="78"/>
      <c r="C575" s="79"/>
      <c r="E575" s="4"/>
      <c r="F575" s="80"/>
      <c r="G575" s="81"/>
      <c r="H575" s="81"/>
      <c r="I575" s="93"/>
    </row>
    <row r="576" ht="14.25" customHeight="1" spans="2:9">
      <c r="B576" s="78"/>
      <c r="C576" s="79"/>
      <c r="E576" s="4"/>
      <c r="F576" s="80"/>
      <c r="G576" s="81"/>
      <c r="H576" s="81"/>
      <c r="I576" s="93"/>
    </row>
    <row r="577" ht="14.25" customHeight="1" spans="2:9">
      <c r="B577" s="78"/>
      <c r="C577" s="79"/>
      <c r="E577" s="4"/>
      <c r="F577" s="80"/>
      <c r="G577" s="81"/>
      <c r="H577" s="81"/>
      <c r="I577" s="93"/>
    </row>
    <row r="578" ht="14.25" customHeight="1" spans="2:9">
      <c r="B578" s="78"/>
      <c r="C578" s="79"/>
      <c r="E578" s="4"/>
      <c r="F578" s="80"/>
      <c r="G578" s="81"/>
      <c r="H578" s="81"/>
      <c r="I578" s="93"/>
    </row>
    <row r="579" ht="14.25" customHeight="1" spans="2:9">
      <c r="B579" s="78"/>
      <c r="C579" s="79"/>
      <c r="E579" s="4"/>
      <c r="F579" s="80"/>
      <c r="G579" s="81"/>
      <c r="H579" s="81"/>
      <c r="I579" s="93"/>
    </row>
    <row r="580" ht="14.25" customHeight="1" spans="2:9">
      <c r="B580" s="78"/>
      <c r="C580" s="79"/>
      <c r="E580" s="4"/>
      <c r="F580" s="80"/>
      <c r="G580" s="81"/>
      <c r="H580" s="81"/>
      <c r="I580" s="93"/>
    </row>
    <row r="581" ht="14.25" customHeight="1" spans="2:9">
      <c r="B581" s="78"/>
      <c r="C581" s="79"/>
      <c r="E581" s="4"/>
      <c r="F581" s="80"/>
      <c r="G581" s="81"/>
      <c r="H581" s="81"/>
      <c r="I581" s="93"/>
    </row>
    <row r="582" ht="14.25" customHeight="1" spans="2:9">
      <c r="B582" s="78"/>
      <c r="C582" s="79"/>
      <c r="E582" s="4"/>
      <c r="F582" s="80"/>
      <c r="G582" s="81"/>
      <c r="H582" s="81"/>
      <c r="I582" s="93"/>
    </row>
    <row r="583" ht="14.25" customHeight="1" spans="2:9">
      <c r="B583" s="78"/>
      <c r="C583" s="79"/>
      <c r="E583" s="4"/>
      <c r="F583" s="80"/>
      <c r="G583" s="81"/>
      <c r="H583" s="81"/>
      <c r="I583" s="93"/>
    </row>
    <row r="584" ht="14.25" customHeight="1" spans="2:9">
      <c r="B584" s="78"/>
      <c r="C584" s="79"/>
      <c r="E584" s="4"/>
      <c r="F584" s="80"/>
      <c r="G584" s="81"/>
      <c r="H584" s="81"/>
      <c r="I584" s="93"/>
    </row>
    <row r="585" ht="14.25" customHeight="1" spans="2:9">
      <c r="B585" s="78"/>
      <c r="C585" s="79"/>
      <c r="E585" s="4"/>
      <c r="F585" s="80"/>
      <c r="G585" s="81"/>
      <c r="H585" s="81"/>
      <c r="I585" s="93"/>
    </row>
    <row r="586" ht="14.25" customHeight="1" spans="2:9">
      <c r="B586" s="78"/>
      <c r="C586" s="79"/>
      <c r="E586" s="4"/>
      <c r="F586" s="80"/>
      <c r="G586" s="81"/>
      <c r="H586" s="81"/>
      <c r="I586" s="93"/>
    </row>
    <row r="587" ht="14.25" customHeight="1" spans="2:9">
      <c r="B587" s="78"/>
      <c r="C587" s="79"/>
      <c r="E587" s="4"/>
      <c r="F587" s="80"/>
      <c r="G587" s="81"/>
      <c r="H587" s="81"/>
      <c r="I587" s="93"/>
    </row>
    <row r="588" ht="14.25" customHeight="1" spans="2:9">
      <c r="B588" s="78"/>
      <c r="C588" s="79"/>
      <c r="E588" s="4"/>
      <c r="F588" s="80"/>
      <c r="G588" s="81"/>
      <c r="H588" s="81"/>
      <c r="I588" s="93"/>
    </row>
    <row r="589" ht="14.25" customHeight="1" spans="2:9">
      <c r="B589" s="78"/>
      <c r="C589" s="79"/>
      <c r="E589" s="4"/>
      <c r="F589" s="80"/>
      <c r="G589" s="81"/>
      <c r="H589" s="81"/>
      <c r="I589" s="93"/>
    </row>
    <row r="590" ht="14.25" customHeight="1" spans="2:9">
      <c r="B590" s="78"/>
      <c r="C590" s="79"/>
      <c r="E590" s="4"/>
      <c r="F590" s="80"/>
      <c r="G590" s="81"/>
      <c r="H590" s="81"/>
      <c r="I590" s="93"/>
    </row>
    <row r="591" ht="14.25" customHeight="1" spans="2:9">
      <c r="B591" s="78"/>
      <c r="C591" s="79"/>
      <c r="E591" s="4"/>
      <c r="F591" s="80"/>
      <c r="G591" s="81"/>
      <c r="H591" s="81"/>
      <c r="I591" s="93"/>
    </row>
    <row r="592" ht="14.25" customHeight="1" spans="2:9">
      <c r="B592" s="78"/>
      <c r="C592" s="79"/>
      <c r="E592" s="4"/>
      <c r="F592" s="80"/>
      <c r="G592" s="81"/>
      <c r="H592" s="81"/>
      <c r="I592" s="93"/>
    </row>
    <row r="593" ht="14.25" customHeight="1" spans="2:9">
      <c r="B593" s="78"/>
      <c r="C593" s="79"/>
      <c r="E593" s="4"/>
      <c r="F593" s="80"/>
      <c r="G593" s="81"/>
      <c r="H593" s="81"/>
      <c r="I593" s="93"/>
    </row>
    <row r="594" ht="14.25" customHeight="1" spans="2:9">
      <c r="B594" s="78"/>
      <c r="C594" s="79"/>
      <c r="E594" s="4"/>
      <c r="F594" s="80"/>
      <c r="G594" s="81"/>
      <c r="H594" s="81"/>
      <c r="I594" s="93"/>
    </row>
    <row r="595" ht="14.25" customHeight="1" spans="2:9">
      <c r="B595" s="78"/>
      <c r="C595" s="79"/>
      <c r="E595" s="4"/>
      <c r="F595" s="80"/>
      <c r="G595" s="81"/>
      <c r="H595" s="81"/>
      <c r="I595" s="93"/>
    </row>
    <row r="596" ht="14.25" customHeight="1" spans="2:9">
      <c r="B596" s="78"/>
      <c r="C596" s="79"/>
      <c r="E596" s="4"/>
      <c r="F596" s="80"/>
      <c r="G596" s="81"/>
      <c r="H596" s="81"/>
      <c r="I596" s="93"/>
    </row>
    <row r="597" ht="14.25" customHeight="1" spans="2:9">
      <c r="B597" s="78"/>
      <c r="C597" s="79"/>
      <c r="E597" s="4"/>
      <c r="F597" s="80"/>
      <c r="G597" s="81"/>
      <c r="H597" s="81"/>
      <c r="I597" s="93"/>
    </row>
    <row r="598" ht="14.25" customHeight="1" spans="2:9">
      <c r="B598" s="78"/>
      <c r="C598" s="79"/>
      <c r="E598" s="4"/>
      <c r="F598" s="80"/>
      <c r="G598" s="81"/>
      <c r="H598" s="81"/>
      <c r="I598" s="93"/>
    </row>
    <row r="599" ht="14.25" customHeight="1" spans="2:9">
      <c r="B599" s="78"/>
      <c r="C599" s="79"/>
      <c r="E599" s="4"/>
      <c r="F599" s="80"/>
      <c r="G599" s="81"/>
      <c r="H599" s="81"/>
      <c r="I599" s="93"/>
    </row>
    <row r="600" ht="14.25" customHeight="1" spans="2:9">
      <c r="B600" s="78"/>
      <c r="C600" s="79"/>
      <c r="E600" s="4"/>
      <c r="F600" s="80"/>
      <c r="G600" s="81"/>
      <c r="H600" s="81"/>
      <c r="I600" s="93"/>
    </row>
    <row r="601" ht="14.25" customHeight="1" spans="2:9">
      <c r="B601" s="78"/>
      <c r="C601" s="79"/>
      <c r="E601" s="4"/>
      <c r="F601" s="80"/>
      <c r="G601" s="81"/>
      <c r="H601" s="81"/>
      <c r="I601" s="93"/>
    </row>
    <row r="602" ht="14.25" customHeight="1" spans="2:9">
      <c r="B602" s="78"/>
      <c r="C602" s="79"/>
      <c r="E602" s="4"/>
      <c r="F602" s="80"/>
      <c r="G602" s="81"/>
      <c r="H602" s="81"/>
      <c r="I602" s="93"/>
    </row>
    <row r="603" ht="14.25" customHeight="1" spans="2:9">
      <c r="B603" s="78"/>
      <c r="C603" s="79"/>
      <c r="E603" s="4"/>
      <c r="F603" s="80"/>
      <c r="G603" s="81"/>
      <c r="H603" s="81"/>
      <c r="I603" s="93"/>
    </row>
    <row r="604" ht="14.25" customHeight="1" spans="2:9">
      <c r="B604" s="78"/>
      <c r="C604" s="79"/>
      <c r="E604" s="4"/>
      <c r="F604" s="80"/>
      <c r="G604" s="81"/>
      <c r="H604" s="81"/>
      <c r="I604" s="93"/>
    </row>
    <row r="605" ht="14.25" customHeight="1" spans="2:9">
      <c r="B605" s="78"/>
      <c r="C605" s="79"/>
      <c r="E605" s="4"/>
      <c r="F605" s="80"/>
      <c r="G605" s="81"/>
      <c r="H605" s="81"/>
      <c r="I605" s="93"/>
    </row>
    <row r="606" ht="14.25" customHeight="1" spans="2:9">
      <c r="B606" s="78"/>
      <c r="C606" s="79"/>
      <c r="E606" s="4"/>
      <c r="F606" s="80"/>
      <c r="G606" s="81"/>
      <c r="H606" s="81"/>
      <c r="I606" s="93"/>
    </row>
    <row r="607" ht="14.25" customHeight="1" spans="2:9">
      <c r="B607" s="78"/>
      <c r="C607" s="79"/>
      <c r="E607" s="4"/>
      <c r="F607" s="80"/>
      <c r="G607" s="81"/>
      <c r="H607" s="81"/>
      <c r="I607" s="93"/>
    </row>
    <row r="608" ht="14.25" customHeight="1" spans="2:9">
      <c r="B608" s="78"/>
      <c r="C608" s="79"/>
      <c r="E608" s="4"/>
      <c r="F608" s="80"/>
      <c r="G608" s="81"/>
      <c r="H608" s="81"/>
      <c r="I608" s="93"/>
    </row>
    <row r="609" ht="14.25" customHeight="1" spans="2:9">
      <c r="B609" s="78"/>
      <c r="C609" s="79"/>
      <c r="E609" s="4"/>
      <c r="F609" s="80"/>
      <c r="G609" s="81"/>
      <c r="H609" s="81"/>
      <c r="I609" s="93"/>
    </row>
    <row r="610" ht="14.25" customHeight="1" spans="2:9">
      <c r="B610" s="78"/>
      <c r="C610" s="79"/>
      <c r="E610" s="4"/>
      <c r="F610" s="80"/>
      <c r="G610" s="81"/>
      <c r="H610" s="81"/>
      <c r="I610" s="93"/>
    </row>
    <row r="611" ht="14.25" customHeight="1" spans="2:9">
      <c r="B611" s="78"/>
      <c r="C611" s="79"/>
      <c r="E611" s="4"/>
      <c r="F611" s="80"/>
      <c r="G611" s="81"/>
      <c r="H611" s="81"/>
      <c r="I611" s="93"/>
    </row>
    <row r="612" ht="14.25" customHeight="1" spans="2:9">
      <c r="B612" s="78"/>
      <c r="C612" s="79"/>
      <c r="E612" s="4"/>
      <c r="F612" s="80"/>
      <c r="G612" s="81"/>
      <c r="H612" s="81"/>
      <c r="I612" s="93"/>
    </row>
    <row r="613" ht="14.25" customHeight="1" spans="2:9">
      <c r="B613" s="78"/>
      <c r="C613" s="79"/>
      <c r="E613" s="4"/>
      <c r="F613" s="80"/>
      <c r="G613" s="81"/>
      <c r="H613" s="81"/>
      <c r="I613" s="93"/>
    </row>
    <row r="614" ht="14.25" customHeight="1" spans="2:9">
      <c r="B614" s="78"/>
      <c r="C614" s="79"/>
      <c r="E614" s="4"/>
      <c r="F614" s="80"/>
      <c r="G614" s="81"/>
      <c r="H614" s="81"/>
      <c r="I614" s="93"/>
    </row>
    <row r="615" ht="14.25" customHeight="1" spans="2:9">
      <c r="B615" s="78"/>
      <c r="C615" s="79"/>
      <c r="E615" s="4"/>
      <c r="F615" s="80"/>
      <c r="G615" s="81"/>
      <c r="H615" s="81"/>
      <c r="I615" s="93"/>
    </row>
    <row r="616" ht="14.25" customHeight="1" spans="2:9">
      <c r="B616" s="78"/>
      <c r="C616" s="79"/>
      <c r="E616" s="4"/>
      <c r="F616" s="80"/>
      <c r="G616" s="81"/>
      <c r="H616" s="81"/>
      <c r="I616" s="93"/>
    </row>
    <row r="617" ht="14.25" customHeight="1" spans="2:9">
      <c r="B617" s="78"/>
      <c r="C617" s="79"/>
      <c r="E617" s="4"/>
      <c r="F617" s="80"/>
      <c r="G617" s="81"/>
      <c r="H617" s="81"/>
      <c r="I617" s="93"/>
    </row>
    <row r="618" ht="14.25" customHeight="1" spans="2:9">
      <c r="B618" s="78"/>
      <c r="C618" s="79"/>
      <c r="E618" s="4"/>
      <c r="F618" s="80"/>
      <c r="G618" s="81"/>
      <c r="H618" s="81"/>
      <c r="I618" s="93"/>
    </row>
    <row r="619" ht="14.25" customHeight="1" spans="2:9">
      <c r="B619" s="78"/>
      <c r="C619" s="79"/>
      <c r="E619" s="4"/>
      <c r="F619" s="80"/>
      <c r="G619" s="81"/>
      <c r="H619" s="81"/>
      <c r="I619" s="93"/>
    </row>
    <row r="620" ht="14.25" customHeight="1" spans="2:9">
      <c r="B620" s="78"/>
      <c r="C620" s="79"/>
      <c r="E620" s="4"/>
      <c r="F620" s="80"/>
      <c r="G620" s="81"/>
      <c r="H620" s="81"/>
      <c r="I620" s="93"/>
    </row>
    <row r="621" ht="14.25" customHeight="1" spans="2:9">
      <c r="B621" s="78"/>
      <c r="C621" s="79"/>
      <c r="E621" s="4"/>
      <c r="F621" s="80"/>
      <c r="G621" s="81"/>
      <c r="H621" s="81"/>
      <c r="I621" s="93"/>
    </row>
    <row r="622" ht="14.25" customHeight="1" spans="2:9">
      <c r="B622" s="78"/>
      <c r="C622" s="79"/>
      <c r="E622" s="4"/>
      <c r="F622" s="80"/>
      <c r="G622" s="81"/>
      <c r="H622" s="81"/>
      <c r="I622" s="93"/>
    </row>
    <row r="623" ht="14.25" customHeight="1" spans="2:9">
      <c r="B623" s="78"/>
      <c r="C623" s="79"/>
      <c r="E623" s="4"/>
      <c r="F623" s="80"/>
      <c r="G623" s="81"/>
      <c r="H623" s="81"/>
      <c r="I623" s="93"/>
    </row>
    <row r="624" ht="14.25" customHeight="1" spans="2:9">
      <c r="B624" s="78"/>
      <c r="C624" s="79"/>
      <c r="E624" s="4"/>
      <c r="F624" s="80"/>
      <c r="G624" s="81"/>
      <c r="H624" s="81"/>
      <c r="I624" s="93"/>
    </row>
    <row r="625" ht="14.25" customHeight="1" spans="2:9">
      <c r="B625" s="78"/>
      <c r="C625" s="79"/>
      <c r="E625" s="4"/>
      <c r="F625" s="80"/>
      <c r="G625" s="81"/>
      <c r="H625" s="81"/>
      <c r="I625" s="93"/>
    </row>
    <row r="626" ht="14.25" customHeight="1" spans="2:9">
      <c r="B626" s="78"/>
      <c r="C626" s="79"/>
      <c r="E626" s="4"/>
      <c r="F626" s="80"/>
      <c r="G626" s="81"/>
      <c r="H626" s="81"/>
      <c r="I626" s="93"/>
    </row>
    <row r="627" ht="14.25" customHeight="1" spans="2:9">
      <c r="B627" s="78"/>
      <c r="C627" s="79"/>
      <c r="E627" s="4"/>
      <c r="F627" s="80"/>
      <c r="G627" s="81"/>
      <c r="H627" s="81"/>
      <c r="I627" s="93"/>
    </row>
    <row r="628" ht="14.25" customHeight="1" spans="2:9">
      <c r="B628" s="78"/>
      <c r="C628" s="79"/>
      <c r="E628" s="4"/>
      <c r="F628" s="80"/>
      <c r="G628" s="81"/>
      <c r="H628" s="81"/>
      <c r="I628" s="93"/>
    </row>
    <row r="629" ht="14.25" customHeight="1" spans="2:9">
      <c r="B629" s="78"/>
      <c r="C629" s="79"/>
      <c r="E629" s="4"/>
      <c r="F629" s="80"/>
      <c r="G629" s="81"/>
      <c r="H629" s="81"/>
      <c r="I629" s="93"/>
    </row>
    <row r="630" ht="14.25" customHeight="1" spans="2:9">
      <c r="B630" s="78"/>
      <c r="C630" s="79"/>
      <c r="E630" s="4"/>
      <c r="F630" s="80"/>
      <c r="G630" s="81"/>
      <c r="H630" s="81"/>
      <c r="I630" s="93"/>
    </row>
    <row r="631" ht="14.25" customHeight="1" spans="2:9">
      <c r="B631" s="78"/>
      <c r="C631" s="79"/>
      <c r="E631" s="4"/>
      <c r="F631" s="80"/>
      <c r="G631" s="81"/>
      <c r="H631" s="81"/>
      <c r="I631" s="93"/>
    </row>
    <row r="632" ht="14.25" customHeight="1" spans="2:9">
      <c r="B632" s="78"/>
      <c r="C632" s="79"/>
      <c r="E632" s="4"/>
      <c r="F632" s="80"/>
      <c r="G632" s="81"/>
      <c r="H632" s="81"/>
      <c r="I632" s="93"/>
    </row>
    <row r="633" ht="14.25" customHeight="1" spans="2:9">
      <c r="B633" s="78"/>
      <c r="C633" s="79"/>
      <c r="E633" s="4"/>
      <c r="F633" s="80"/>
      <c r="G633" s="81"/>
      <c r="H633" s="81"/>
      <c r="I633" s="93"/>
    </row>
    <row r="634" ht="14.25" customHeight="1" spans="2:9">
      <c r="B634" s="78"/>
      <c r="C634" s="79"/>
      <c r="E634" s="4"/>
      <c r="F634" s="80"/>
      <c r="G634" s="81"/>
      <c r="H634" s="81"/>
      <c r="I634" s="93"/>
    </row>
    <row r="635" ht="14.25" customHeight="1" spans="2:9">
      <c r="B635" s="78"/>
      <c r="C635" s="79"/>
      <c r="E635" s="4"/>
      <c r="F635" s="80"/>
      <c r="G635" s="81"/>
      <c r="H635" s="81"/>
      <c r="I635" s="93"/>
    </row>
    <row r="636" ht="14.25" customHeight="1" spans="2:9">
      <c r="B636" s="78"/>
      <c r="C636" s="79"/>
      <c r="E636" s="4"/>
      <c r="F636" s="80"/>
      <c r="G636" s="81"/>
      <c r="H636" s="81"/>
      <c r="I636" s="93"/>
    </row>
    <row r="637" ht="14.25" customHeight="1" spans="2:9">
      <c r="B637" s="78"/>
      <c r="C637" s="79"/>
      <c r="E637" s="4"/>
      <c r="F637" s="80"/>
      <c r="G637" s="81"/>
      <c r="H637" s="81"/>
      <c r="I637" s="93"/>
    </row>
    <row r="638" ht="14.25" customHeight="1" spans="2:9">
      <c r="B638" s="78"/>
      <c r="C638" s="79"/>
      <c r="E638" s="4"/>
      <c r="F638" s="80"/>
      <c r="G638" s="81"/>
      <c r="H638" s="81"/>
      <c r="I638" s="93"/>
    </row>
    <row r="639" ht="14.25" customHeight="1" spans="2:9">
      <c r="B639" s="78"/>
      <c r="C639" s="79"/>
      <c r="E639" s="4"/>
      <c r="F639" s="80"/>
      <c r="G639" s="81"/>
      <c r="H639" s="81"/>
      <c r="I639" s="93"/>
    </row>
    <row r="640" ht="14.25" customHeight="1" spans="2:9">
      <c r="B640" s="78"/>
      <c r="C640" s="79"/>
      <c r="E640" s="4"/>
      <c r="F640" s="80"/>
      <c r="G640" s="81"/>
      <c r="H640" s="81"/>
      <c r="I640" s="93"/>
    </row>
    <row r="641" ht="14.25" customHeight="1" spans="2:9">
      <c r="B641" s="78"/>
      <c r="C641" s="79"/>
      <c r="E641" s="4"/>
      <c r="F641" s="80"/>
      <c r="G641" s="81"/>
      <c r="H641" s="81"/>
      <c r="I641" s="93"/>
    </row>
    <row r="642" ht="14.25" customHeight="1" spans="2:9">
      <c r="B642" s="78"/>
      <c r="C642" s="79"/>
      <c r="E642" s="4"/>
      <c r="F642" s="80"/>
      <c r="G642" s="81"/>
      <c r="H642" s="81"/>
      <c r="I642" s="93"/>
    </row>
    <row r="643" ht="14.25" customHeight="1" spans="2:9">
      <c r="B643" s="78"/>
      <c r="C643" s="79"/>
      <c r="E643" s="4"/>
      <c r="F643" s="80"/>
      <c r="G643" s="81"/>
      <c r="H643" s="81"/>
      <c r="I643" s="93"/>
    </row>
    <row r="644" ht="14.25" customHeight="1" spans="2:9">
      <c r="B644" s="78"/>
      <c r="C644" s="79"/>
      <c r="E644" s="4"/>
      <c r="F644" s="80"/>
      <c r="G644" s="81"/>
      <c r="H644" s="81"/>
      <c r="I644" s="93"/>
    </row>
    <row r="645" ht="14.25" customHeight="1" spans="2:9">
      <c r="B645" s="78"/>
      <c r="C645" s="79"/>
      <c r="E645" s="4"/>
      <c r="F645" s="80"/>
      <c r="G645" s="81"/>
      <c r="H645" s="81"/>
      <c r="I645" s="93"/>
    </row>
    <row r="646" ht="14.25" customHeight="1" spans="2:9">
      <c r="B646" s="78"/>
      <c r="C646" s="79"/>
      <c r="E646" s="4"/>
      <c r="F646" s="80"/>
      <c r="G646" s="81"/>
      <c r="H646" s="81"/>
      <c r="I646" s="93"/>
    </row>
    <row r="647" ht="14.25" customHeight="1" spans="2:9">
      <c r="B647" s="78"/>
      <c r="C647" s="79"/>
      <c r="E647" s="4"/>
      <c r="F647" s="80"/>
      <c r="G647" s="81"/>
      <c r="H647" s="81"/>
      <c r="I647" s="93"/>
    </row>
    <row r="648" ht="14.25" customHeight="1" spans="2:9">
      <c r="B648" s="78"/>
      <c r="C648" s="79"/>
      <c r="E648" s="4"/>
      <c r="F648" s="80"/>
      <c r="G648" s="81"/>
      <c r="H648" s="81"/>
      <c r="I648" s="93"/>
    </row>
    <row r="649" ht="14.25" customHeight="1" spans="2:9">
      <c r="B649" s="78"/>
      <c r="C649" s="79"/>
      <c r="E649" s="4"/>
      <c r="F649" s="80"/>
      <c r="G649" s="81"/>
      <c r="H649" s="81"/>
      <c r="I649" s="93"/>
    </row>
    <row r="650" ht="14.25" customHeight="1" spans="2:9">
      <c r="B650" s="78"/>
      <c r="C650" s="79"/>
      <c r="E650" s="4"/>
      <c r="F650" s="80"/>
      <c r="G650" s="81"/>
      <c r="H650" s="81"/>
      <c r="I650" s="93"/>
    </row>
    <row r="651" ht="14.25" customHeight="1" spans="2:9">
      <c r="B651" s="78"/>
      <c r="C651" s="79"/>
      <c r="E651" s="4"/>
      <c r="F651" s="80"/>
      <c r="G651" s="81"/>
      <c r="H651" s="81"/>
      <c r="I651" s="93"/>
    </row>
    <row r="652" ht="14.25" customHeight="1" spans="2:9">
      <c r="B652" s="78"/>
      <c r="C652" s="79"/>
      <c r="E652" s="4"/>
      <c r="F652" s="80"/>
      <c r="G652" s="81"/>
      <c r="H652" s="81"/>
      <c r="I652" s="93"/>
    </row>
    <row r="653" ht="14.25" customHeight="1" spans="2:9">
      <c r="B653" s="78"/>
      <c r="C653" s="79"/>
      <c r="E653" s="4"/>
      <c r="F653" s="80"/>
      <c r="G653" s="81"/>
      <c r="H653" s="81"/>
      <c r="I653" s="93"/>
    </row>
    <row r="654" ht="14.25" customHeight="1" spans="2:9">
      <c r="B654" s="78"/>
      <c r="C654" s="79"/>
      <c r="E654" s="4"/>
      <c r="F654" s="80"/>
      <c r="G654" s="81"/>
      <c r="H654" s="81"/>
      <c r="I654" s="93"/>
    </row>
    <row r="655" ht="14.25" customHeight="1" spans="2:9">
      <c r="B655" s="78"/>
      <c r="C655" s="79"/>
      <c r="E655" s="4"/>
      <c r="F655" s="80"/>
      <c r="G655" s="81"/>
      <c r="H655" s="81"/>
      <c r="I655" s="93"/>
    </row>
    <row r="656" ht="14.25" customHeight="1" spans="2:9">
      <c r="B656" s="78"/>
      <c r="C656" s="79"/>
      <c r="E656" s="4"/>
      <c r="F656" s="80"/>
      <c r="G656" s="81"/>
      <c r="H656" s="81"/>
      <c r="I656" s="93"/>
    </row>
    <row r="657" ht="14.25" customHeight="1" spans="2:9">
      <c r="B657" s="78"/>
      <c r="C657" s="79"/>
      <c r="E657" s="4"/>
      <c r="F657" s="80"/>
      <c r="G657" s="81"/>
      <c r="H657" s="81"/>
      <c r="I657" s="93"/>
    </row>
    <row r="658" ht="14.25" customHeight="1" spans="2:9">
      <c r="B658" s="78"/>
      <c r="C658" s="79"/>
      <c r="E658" s="4"/>
      <c r="F658" s="80"/>
      <c r="G658" s="81"/>
      <c r="H658" s="81"/>
      <c r="I658" s="93"/>
    </row>
    <row r="659" ht="14.25" customHeight="1" spans="2:9">
      <c r="B659" s="78"/>
      <c r="C659" s="79"/>
      <c r="E659" s="4"/>
      <c r="F659" s="80"/>
      <c r="G659" s="81"/>
      <c r="H659" s="81"/>
      <c r="I659" s="93"/>
    </row>
    <row r="660" ht="14.25" customHeight="1" spans="2:9">
      <c r="B660" s="78"/>
      <c r="C660" s="79"/>
      <c r="E660" s="4"/>
      <c r="F660" s="80"/>
      <c r="G660" s="81"/>
      <c r="H660" s="81"/>
      <c r="I660" s="93"/>
    </row>
    <row r="661" ht="14.25" customHeight="1" spans="2:9">
      <c r="B661" s="78"/>
      <c r="C661" s="79"/>
      <c r="E661" s="4"/>
      <c r="F661" s="80"/>
      <c r="G661" s="81"/>
      <c r="H661" s="81"/>
      <c r="I661" s="93"/>
    </row>
    <row r="662" ht="14.25" customHeight="1" spans="2:9">
      <c r="B662" s="78"/>
      <c r="C662" s="79"/>
      <c r="E662" s="4"/>
      <c r="F662" s="80"/>
      <c r="G662" s="81"/>
      <c r="H662" s="81"/>
      <c r="I662" s="93"/>
    </row>
    <row r="663" ht="14.25" customHeight="1" spans="2:9">
      <c r="B663" s="78"/>
      <c r="C663" s="79"/>
      <c r="E663" s="4"/>
      <c r="F663" s="80"/>
      <c r="G663" s="81"/>
      <c r="H663" s="81"/>
      <c r="I663" s="93"/>
    </row>
    <row r="664" ht="14.25" customHeight="1" spans="2:9">
      <c r="B664" s="78"/>
      <c r="C664" s="79"/>
      <c r="E664" s="4"/>
      <c r="F664" s="80"/>
      <c r="G664" s="81"/>
      <c r="H664" s="81"/>
      <c r="I664" s="93"/>
    </row>
    <row r="665" ht="14.25" customHeight="1" spans="2:9">
      <c r="B665" s="78"/>
      <c r="C665" s="79"/>
      <c r="E665" s="4"/>
      <c r="F665" s="80"/>
      <c r="G665" s="81"/>
      <c r="H665" s="81"/>
      <c r="I665" s="93"/>
    </row>
    <row r="666" ht="14.25" customHeight="1" spans="2:9">
      <c r="B666" s="78"/>
      <c r="C666" s="79"/>
      <c r="E666" s="4"/>
      <c r="F666" s="80"/>
      <c r="G666" s="81"/>
      <c r="H666" s="81"/>
      <c r="I666" s="93"/>
    </row>
    <row r="667" ht="14.25" customHeight="1" spans="2:9">
      <c r="B667" s="78"/>
      <c r="C667" s="79"/>
      <c r="E667" s="4"/>
      <c r="F667" s="80"/>
      <c r="G667" s="81"/>
      <c r="H667" s="81"/>
      <c r="I667" s="93"/>
    </row>
    <row r="668" ht="14.25" customHeight="1" spans="2:9">
      <c r="B668" s="78"/>
      <c r="C668" s="79"/>
      <c r="E668" s="4"/>
      <c r="F668" s="80"/>
      <c r="G668" s="81"/>
      <c r="H668" s="81"/>
      <c r="I668" s="93"/>
    </row>
    <row r="669" ht="14.25" customHeight="1" spans="2:9">
      <c r="B669" s="78"/>
      <c r="C669" s="79"/>
      <c r="E669" s="4"/>
      <c r="F669" s="80"/>
      <c r="G669" s="81"/>
      <c r="H669" s="81"/>
      <c r="I669" s="93"/>
    </row>
    <row r="670" ht="14.25" customHeight="1" spans="2:9">
      <c r="B670" s="78"/>
      <c r="C670" s="79"/>
      <c r="E670" s="4"/>
      <c r="F670" s="80"/>
      <c r="G670" s="81"/>
      <c r="H670" s="81"/>
      <c r="I670" s="93"/>
    </row>
    <row r="671" ht="14.25" customHeight="1" spans="2:9">
      <c r="B671" s="78"/>
      <c r="C671" s="79"/>
      <c r="E671" s="4"/>
      <c r="F671" s="80"/>
      <c r="G671" s="81"/>
      <c r="H671" s="81"/>
      <c r="I671" s="93"/>
    </row>
    <row r="672" ht="14.25" customHeight="1" spans="2:9">
      <c r="B672" s="78"/>
      <c r="C672" s="79"/>
      <c r="E672" s="4"/>
      <c r="F672" s="80"/>
      <c r="G672" s="81"/>
      <c r="H672" s="81"/>
      <c r="I672" s="93"/>
    </row>
    <row r="673" ht="14.25" customHeight="1" spans="2:9">
      <c r="B673" s="78"/>
      <c r="C673" s="79"/>
      <c r="E673" s="4"/>
      <c r="F673" s="80"/>
      <c r="G673" s="81"/>
      <c r="H673" s="81"/>
      <c r="I673" s="93"/>
    </row>
    <row r="674" ht="14.25" customHeight="1" spans="2:9">
      <c r="B674" s="78"/>
      <c r="C674" s="79"/>
      <c r="E674" s="4"/>
      <c r="F674" s="80"/>
      <c r="G674" s="81"/>
      <c r="H674" s="81"/>
      <c r="I674" s="93"/>
    </row>
    <row r="675" ht="14.25" customHeight="1" spans="2:9">
      <c r="B675" s="78"/>
      <c r="C675" s="79"/>
      <c r="E675" s="4"/>
      <c r="F675" s="80"/>
      <c r="G675" s="81"/>
      <c r="H675" s="81"/>
      <c r="I675" s="93"/>
    </row>
    <row r="676" ht="14.25" customHeight="1" spans="2:9">
      <c r="B676" s="78"/>
      <c r="C676" s="79"/>
      <c r="E676" s="4"/>
      <c r="F676" s="80"/>
      <c r="G676" s="81"/>
      <c r="H676" s="81"/>
      <c r="I676" s="93"/>
    </row>
    <row r="677" ht="14.25" customHeight="1" spans="2:9">
      <c r="B677" s="78"/>
      <c r="C677" s="79"/>
      <c r="E677" s="4"/>
      <c r="F677" s="80"/>
      <c r="G677" s="81"/>
      <c r="H677" s="81"/>
      <c r="I677" s="93"/>
    </row>
    <row r="678" ht="14.25" customHeight="1" spans="2:9">
      <c r="B678" s="78"/>
      <c r="C678" s="79"/>
      <c r="E678" s="4"/>
      <c r="F678" s="80"/>
      <c r="G678" s="81"/>
      <c r="H678" s="81"/>
      <c r="I678" s="93"/>
    </row>
    <row r="679" ht="14.25" customHeight="1" spans="2:9">
      <c r="B679" s="78"/>
      <c r="C679" s="79"/>
      <c r="E679" s="4"/>
      <c r="F679" s="80"/>
      <c r="G679" s="81"/>
      <c r="H679" s="81"/>
      <c r="I679" s="93"/>
    </row>
    <row r="680" ht="14.25" customHeight="1" spans="2:9">
      <c r="B680" s="78"/>
      <c r="C680" s="79"/>
      <c r="E680" s="4"/>
      <c r="F680" s="80"/>
      <c r="G680" s="81"/>
      <c r="H680" s="81"/>
      <c r="I680" s="93"/>
    </row>
    <row r="681" ht="14.25" customHeight="1" spans="2:9">
      <c r="B681" s="78"/>
      <c r="C681" s="79"/>
      <c r="E681" s="4"/>
      <c r="F681" s="80"/>
      <c r="G681" s="81"/>
      <c r="H681" s="81"/>
      <c r="I681" s="93"/>
    </row>
    <row r="682" ht="14.25" customHeight="1" spans="2:9">
      <c r="B682" s="78"/>
      <c r="C682" s="79"/>
      <c r="E682" s="4"/>
      <c r="F682" s="80"/>
      <c r="G682" s="81"/>
      <c r="H682" s="81"/>
      <c r="I682" s="93"/>
    </row>
    <row r="683" ht="14.25" customHeight="1" spans="2:9">
      <c r="B683" s="78"/>
      <c r="C683" s="79"/>
      <c r="E683" s="4"/>
      <c r="F683" s="80"/>
      <c r="G683" s="81"/>
      <c r="H683" s="81"/>
      <c r="I683" s="93"/>
    </row>
    <row r="684" ht="14.25" customHeight="1" spans="2:9">
      <c r="B684" s="78"/>
      <c r="C684" s="79"/>
      <c r="E684" s="4"/>
      <c r="F684" s="80"/>
      <c r="G684" s="81"/>
      <c r="H684" s="81"/>
      <c r="I684" s="93"/>
    </row>
    <row r="685" ht="14.25" customHeight="1" spans="2:9">
      <c r="B685" s="78"/>
      <c r="C685" s="79"/>
      <c r="E685" s="4"/>
      <c r="F685" s="80"/>
      <c r="G685" s="81"/>
      <c r="H685" s="81"/>
      <c r="I685" s="93"/>
    </row>
    <row r="686" ht="14.25" customHeight="1" spans="2:9">
      <c r="B686" s="78"/>
      <c r="C686" s="79"/>
      <c r="E686" s="4"/>
      <c r="F686" s="80"/>
      <c r="G686" s="81"/>
      <c r="H686" s="81"/>
      <c r="I686" s="93"/>
    </row>
    <row r="687" ht="14.25" customHeight="1" spans="2:9">
      <c r="B687" s="78"/>
      <c r="C687" s="79"/>
      <c r="E687" s="4"/>
      <c r="F687" s="80"/>
      <c r="G687" s="81"/>
      <c r="H687" s="81"/>
      <c r="I687" s="93"/>
    </row>
    <row r="688" ht="14.25" customHeight="1" spans="2:9">
      <c r="B688" s="78"/>
      <c r="C688" s="79"/>
      <c r="E688" s="4"/>
      <c r="F688" s="80"/>
      <c r="G688" s="81"/>
      <c r="H688" s="81"/>
      <c r="I688" s="93"/>
    </row>
    <row r="689" ht="14.25" customHeight="1" spans="2:9">
      <c r="B689" s="78"/>
      <c r="C689" s="79"/>
      <c r="E689" s="4"/>
      <c r="F689" s="80"/>
      <c r="G689" s="81"/>
      <c r="H689" s="81"/>
      <c r="I689" s="93"/>
    </row>
    <row r="690" ht="14.25" customHeight="1" spans="2:9">
      <c r="B690" s="78"/>
      <c r="C690" s="79"/>
      <c r="E690" s="4"/>
      <c r="F690" s="80"/>
      <c r="G690" s="81"/>
      <c r="H690" s="81"/>
      <c r="I690" s="93"/>
    </row>
    <row r="691" ht="14.25" customHeight="1" spans="2:9">
      <c r="B691" s="78"/>
      <c r="C691" s="79"/>
      <c r="E691" s="4"/>
      <c r="F691" s="80"/>
      <c r="G691" s="81"/>
      <c r="H691" s="81"/>
      <c r="I691" s="93"/>
    </row>
    <row r="692" ht="14.25" customHeight="1" spans="2:9">
      <c r="B692" s="78"/>
      <c r="C692" s="79"/>
      <c r="E692" s="4"/>
      <c r="F692" s="80"/>
      <c r="G692" s="81"/>
      <c r="H692" s="81"/>
      <c r="I692" s="93"/>
    </row>
    <row r="693" ht="14.25" customHeight="1" spans="2:9">
      <c r="B693" s="78"/>
      <c r="C693" s="79"/>
      <c r="E693" s="4"/>
      <c r="F693" s="80"/>
      <c r="G693" s="81"/>
      <c r="H693" s="81"/>
      <c r="I693" s="93"/>
    </row>
    <row r="694" ht="14.25" customHeight="1" spans="2:9">
      <c r="B694" s="78"/>
      <c r="C694" s="79"/>
      <c r="E694" s="4"/>
      <c r="F694" s="80"/>
      <c r="G694" s="81"/>
      <c r="H694" s="81"/>
      <c r="I694" s="93"/>
    </row>
    <row r="695" ht="14.25" customHeight="1" spans="2:9">
      <c r="B695" s="78"/>
      <c r="C695" s="79"/>
      <c r="E695" s="4"/>
      <c r="F695" s="80"/>
      <c r="G695" s="81"/>
      <c r="H695" s="81"/>
      <c r="I695" s="93"/>
    </row>
    <row r="696" ht="14.25" customHeight="1" spans="2:9">
      <c r="B696" s="78"/>
      <c r="C696" s="79"/>
      <c r="E696" s="4"/>
      <c r="F696" s="80"/>
      <c r="G696" s="81"/>
      <c r="H696" s="81"/>
      <c r="I696" s="93"/>
    </row>
    <row r="697" ht="14.25" customHeight="1" spans="2:9">
      <c r="B697" s="78"/>
      <c r="C697" s="79"/>
      <c r="E697" s="4"/>
      <c r="F697" s="80"/>
      <c r="G697" s="81"/>
      <c r="H697" s="81"/>
      <c r="I697" s="93"/>
    </row>
    <row r="698" ht="14.25" customHeight="1" spans="2:9">
      <c r="B698" s="78"/>
      <c r="C698" s="79"/>
      <c r="E698" s="4"/>
      <c r="F698" s="80"/>
      <c r="G698" s="81"/>
      <c r="H698" s="81"/>
      <c r="I698" s="93"/>
    </row>
    <row r="699" ht="14.25" customHeight="1" spans="2:9">
      <c r="B699" s="78"/>
      <c r="C699" s="79"/>
      <c r="E699" s="4"/>
      <c r="F699" s="80"/>
      <c r="G699" s="81"/>
      <c r="H699" s="81"/>
      <c r="I699" s="93"/>
    </row>
    <row r="700" ht="14.25" customHeight="1" spans="2:9">
      <c r="B700" s="78"/>
      <c r="C700" s="79"/>
      <c r="E700" s="4"/>
      <c r="F700" s="80"/>
      <c r="G700" s="81"/>
      <c r="H700" s="81"/>
      <c r="I700" s="93"/>
    </row>
    <row r="701" ht="14.25" customHeight="1" spans="2:9">
      <c r="B701" s="78"/>
      <c r="C701" s="79"/>
      <c r="E701" s="4"/>
      <c r="F701" s="80"/>
      <c r="G701" s="81"/>
      <c r="H701" s="81"/>
      <c r="I701" s="93"/>
    </row>
    <row r="702" ht="14.25" customHeight="1" spans="2:9">
      <c r="B702" s="78"/>
      <c r="C702" s="79"/>
      <c r="E702" s="4"/>
      <c r="F702" s="80"/>
      <c r="G702" s="81"/>
      <c r="H702" s="81"/>
      <c r="I702" s="93"/>
    </row>
    <row r="703" ht="14.25" customHeight="1" spans="2:9">
      <c r="B703" s="78"/>
      <c r="C703" s="79"/>
      <c r="E703" s="4"/>
      <c r="F703" s="80"/>
      <c r="G703" s="81"/>
      <c r="H703" s="81"/>
      <c r="I703" s="93"/>
    </row>
    <row r="704" ht="14.25" customHeight="1" spans="2:9">
      <c r="B704" s="78"/>
      <c r="C704" s="79"/>
      <c r="E704" s="4"/>
      <c r="F704" s="80"/>
      <c r="G704" s="81"/>
      <c r="H704" s="81"/>
      <c r="I704" s="93"/>
    </row>
    <row r="705" ht="14.25" customHeight="1" spans="2:9">
      <c r="B705" s="78"/>
      <c r="C705" s="79"/>
      <c r="E705" s="4"/>
      <c r="F705" s="80"/>
      <c r="G705" s="81"/>
      <c r="H705" s="81"/>
      <c r="I705" s="93"/>
    </row>
    <row r="706" ht="14.25" customHeight="1" spans="2:9">
      <c r="B706" s="78"/>
      <c r="C706" s="79"/>
      <c r="E706" s="4"/>
      <c r="F706" s="80"/>
      <c r="G706" s="81"/>
      <c r="H706" s="81"/>
      <c r="I706" s="93"/>
    </row>
    <row r="707" ht="14.25" customHeight="1" spans="2:9">
      <c r="B707" s="78"/>
      <c r="C707" s="79"/>
      <c r="E707" s="4"/>
      <c r="F707" s="80"/>
      <c r="G707" s="81"/>
      <c r="H707" s="81"/>
      <c r="I707" s="93"/>
    </row>
    <row r="708" ht="14.25" customHeight="1" spans="2:9">
      <c r="B708" s="78"/>
      <c r="C708" s="79"/>
      <c r="E708" s="4"/>
      <c r="F708" s="80"/>
      <c r="G708" s="81"/>
      <c r="H708" s="81"/>
      <c r="I708" s="93"/>
    </row>
    <row r="709" ht="14.25" customHeight="1" spans="2:9">
      <c r="B709" s="78"/>
      <c r="C709" s="79"/>
      <c r="E709" s="4"/>
      <c r="F709" s="80"/>
      <c r="G709" s="81"/>
      <c r="H709" s="81"/>
      <c r="I709" s="93"/>
    </row>
    <row r="710" ht="14.25" customHeight="1" spans="2:9">
      <c r="B710" s="78"/>
      <c r="C710" s="79"/>
      <c r="E710" s="4"/>
      <c r="F710" s="80"/>
      <c r="G710" s="81"/>
      <c r="H710" s="81"/>
      <c r="I710" s="93"/>
    </row>
    <row r="711" ht="14.25" customHeight="1" spans="2:9">
      <c r="B711" s="78"/>
      <c r="C711" s="79"/>
      <c r="E711" s="4"/>
      <c r="F711" s="80"/>
      <c r="G711" s="81"/>
      <c r="H711" s="81"/>
      <c r="I711" s="93"/>
    </row>
    <row r="712" ht="14.25" customHeight="1" spans="2:9">
      <c r="B712" s="78"/>
      <c r="C712" s="79"/>
      <c r="E712" s="4"/>
      <c r="F712" s="80"/>
      <c r="G712" s="81"/>
      <c r="H712" s="81"/>
      <c r="I712" s="93"/>
    </row>
    <row r="713" ht="14.25" customHeight="1" spans="2:9">
      <c r="B713" s="78"/>
      <c r="C713" s="79"/>
      <c r="E713" s="4"/>
      <c r="F713" s="80"/>
      <c r="G713" s="81"/>
      <c r="H713" s="81"/>
      <c r="I713" s="93"/>
    </row>
    <row r="714" ht="14.25" customHeight="1" spans="2:9">
      <c r="B714" s="78"/>
      <c r="C714" s="79"/>
      <c r="E714" s="4"/>
      <c r="F714" s="80"/>
      <c r="G714" s="81"/>
      <c r="H714" s="81"/>
      <c r="I714" s="93"/>
    </row>
    <row r="715" ht="14.25" customHeight="1" spans="2:9">
      <c r="B715" s="78"/>
      <c r="C715" s="79"/>
      <c r="E715" s="4"/>
      <c r="F715" s="80"/>
      <c r="G715" s="81"/>
      <c r="H715" s="81"/>
      <c r="I715" s="93"/>
    </row>
    <row r="716" ht="14.25" customHeight="1" spans="2:9">
      <c r="B716" s="78"/>
      <c r="C716" s="79"/>
      <c r="E716" s="4"/>
      <c r="F716" s="80"/>
      <c r="G716" s="81"/>
      <c r="H716" s="81"/>
      <c r="I716" s="93"/>
    </row>
    <row r="717" ht="14.25" customHeight="1" spans="2:9">
      <c r="B717" s="78"/>
      <c r="C717" s="79"/>
      <c r="E717" s="4"/>
      <c r="F717" s="80"/>
      <c r="G717" s="81"/>
      <c r="H717" s="81"/>
      <c r="I717" s="93"/>
    </row>
    <row r="718" ht="14.25" customHeight="1" spans="2:9">
      <c r="B718" s="78"/>
      <c r="C718" s="79"/>
      <c r="E718" s="4"/>
      <c r="F718" s="80"/>
      <c r="G718" s="81"/>
      <c r="H718" s="81"/>
      <c r="I718" s="93"/>
    </row>
    <row r="719" ht="14.25" customHeight="1" spans="2:9">
      <c r="B719" s="78"/>
      <c r="C719" s="79"/>
      <c r="E719" s="4"/>
      <c r="F719" s="80"/>
      <c r="G719" s="81"/>
      <c r="H719" s="81"/>
      <c r="I719" s="93"/>
    </row>
    <row r="720" ht="14.25" customHeight="1" spans="2:9">
      <c r="B720" s="78"/>
      <c r="C720" s="79"/>
      <c r="E720" s="4"/>
      <c r="F720" s="80"/>
      <c r="G720" s="81"/>
      <c r="H720" s="81"/>
      <c r="I720" s="93"/>
    </row>
    <row r="721" ht="14.25" customHeight="1" spans="2:9">
      <c r="B721" s="78"/>
      <c r="C721" s="79"/>
      <c r="E721" s="4"/>
      <c r="F721" s="80"/>
      <c r="G721" s="81"/>
      <c r="H721" s="81"/>
      <c r="I721" s="93"/>
    </row>
    <row r="722" ht="14.25" customHeight="1" spans="2:9">
      <c r="B722" s="78"/>
      <c r="C722" s="79"/>
      <c r="E722" s="4"/>
      <c r="F722" s="80"/>
      <c r="G722" s="81"/>
      <c r="H722" s="81"/>
      <c r="I722" s="93"/>
    </row>
    <row r="723" ht="14.25" customHeight="1" spans="2:9">
      <c r="B723" s="78"/>
      <c r="C723" s="79"/>
      <c r="E723" s="4"/>
      <c r="F723" s="80"/>
      <c r="G723" s="81"/>
      <c r="H723" s="81"/>
      <c r="I723" s="93"/>
    </row>
    <row r="724" ht="14.25" customHeight="1" spans="2:9">
      <c r="B724" s="78"/>
      <c r="C724" s="79"/>
      <c r="E724" s="4"/>
      <c r="F724" s="80"/>
      <c r="G724" s="81"/>
      <c r="H724" s="81"/>
      <c r="I724" s="93"/>
    </row>
    <row r="725" ht="14.25" customHeight="1" spans="2:9">
      <c r="B725" s="78"/>
      <c r="C725" s="79"/>
      <c r="E725" s="4"/>
      <c r="F725" s="80"/>
      <c r="G725" s="81"/>
      <c r="H725" s="81"/>
      <c r="I725" s="93"/>
    </row>
    <row r="726" ht="14.25" customHeight="1" spans="2:9">
      <c r="B726" s="78"/>
      <c r="C726" s="79"/>
      <c r="E726" s="4"/>
      <c r="F726" s="80"/>
      <c r="G726" s="81"/>
      <c r="H726" s="81"/>
      <c r="I726" s="93"/>
    </row>
    <row r="727" ht="14.25" customHeight="1" spans="2:9">
      <c r="B727" s="78"/>
      <c r="C727" s="79"/>
      <c r="E727" s="4"/>
      <c r="F727" s="80"/>
      <c r="G727" s="81"/>
      <c r="H727" s="81"/>
      <c r="I727" s="93"/>
    </row>
    <row r="728" ht="14.25" customHeight="1" spans="2:9">
      <c r="B728" s="78"/>
      <c r="C728" s="79"/>
      <c r="E728" s="4"/>
      <c r="F728" s="80"/>
      <c r="G728" s="81"/>
      <c r="H728" s="81"/>
      <c r="I728" s="93"/>
    </row>
    <row r="729" ht="14.25" customHeight="1" spans="2:9">
      <c r="B729" s="78"/>
      <c r="C729" s="79"/>
      <c r="E729" s="4"/>
      <c r="F729" s="80"/>
      <c r="G729" s="81"/>
      <c r="H729" s="81"/>
      <c r="I729" s="93"/>
    </row>
    <row r="730" ht="14.25" customHeight="1" spans="2:9">
      <c r="B730" s="78"/>
      <c r="C730" s="79"/>
      <c r="E730" s="4"/>
      <c r="F730" s="80"/>
      <c r="G730" s="81"/>
      <c r="H730" s="81"/>
      <c r="I730" s="93"/>
    </row>
    <row r="731" ht="14.25" customHeight="1" spans="2:9">
      <c r="B731" s="78"/>
      <c r="C731" s="79"/>
      <c r="E731" s="4"/>
      <c r="F731" s="80"/>
      <c r="G731" s="81"/>
      <c r="H731" s="81"/>
      <c r="I731" s="93"/>
    </row>
    <row r="732" ht="14.25" customHeight="1" spans="2:9">
      <c r="B732" s="78"/>
      <c r="C732" s="79"/>
      <c r="E732" s="4"/>
      <c r="F732" s="80"/>
      <c r="G732" s="81"/>
      <c r="H732" s="81"/>
      <c r="I732" s="93"/>
    </row>
    <row r="733" ht="14.25" customHeight="1" spans="2:9">
      <c r="B733" s="78"/>
      <c r="C733" s="79"/>
      <c r="E733" s="4"/>
      <c r="F733" s="80"/>
      <c r="G733" s="81"/>
      <c r="H733" s="81"/>
      <c r="I733" s="93"/>
    </row>
    <row r="734" ht="14.25" customHeight="1" spans="2:9">
      <c r="B734" s="78"/>
      <c r="C734" s="79"/>
      <c r="E734" s="4"/>
      <c r="F734" s="80"/>
      <c r="G734" s="81"/>
      <c r="H734" s="81"/>
      <c r="I734" s="93"/>
    </row>
    <row r="735" ht="14.25" customHeight="1" spans="2:9">
      <c r="B735" s="78"/>
      <c r="C735" s="79"/>
      <c r="E735" s="4"/>
      <c r="F735" s="80"/>
      <c r="G735" s="81"/>
      <c r="H735" s="81"/>
      <c r="I735" s="93"/>
    </row>
    <row r="736" ht="14.25" customHeight="1" spans="2:9">
      <c r="B736" s="78"/>
      <c r="C736" s="79"/>
      <c r="E736" s="4"/>
      <c r="F736" s="80"/>
      <c r="G736" s="81"/>
      <c r="H736" s="81"/>
      <c r="I736" s="93"/>
    </row>
    <row r="737" ht="14.25" customHeight="1" spans="2:9">
      <c r="B737" s="78"/>
      <c r="C737" s="79"/>
      <c r="E737" s="4"/>
      <c r="F737" s="80"/>
      <c r="G737" s="81"/>
      <c r="H737" s="81"/>
      <c r="I737" s="93"/>
    </row>
    <row r="738" ht="14.25" customHeight="1" spans="2:9">
      <c r="B738" s="78"/>
      <c r="C738" s="79"/>
      <c r="E738" s="4"/>
      <c r="F738" s="80"/>
      <c r="G738" s="81"/>
      <c r="H738" s="81"/>
      <c r="I738" s="93"/>
    </row>
    <row r="739" ht="14.25" customHeight="1" spans="2:9">
      <c r="B739" s="78"/>
      <c r="C739" s="79"/>
      <c r="E739" s="4"/>
      <c r="F739" s="80"/>
      <c r="G739" s="81"/>
      <c r="H739" s="81"/>
      <c r="I739" s="93"/>
    </row>
    <row r="740" ht="14.25" customHeight="1" spans="2:9">
      <c r="B740" s="78"/>
      <c r="C740" s="79"/>
      <c r="E740" s="4"/>
      <c r="F740" s="80"/>
      <c r="G740" s="81"/>
      <c r="H740" s="81"/>
      <c r="I740" s="93"/>
    </row>
    <row r="741" ht="14.25" customHeight="1" spans="2:9">
      <c r="B741" s="78"/>
      <c r="C741" s="79"/>
      <c r="E741" s="4"/>
      <c r="F741" s="80"/>
      <c r="G741" s="81"/>
      <c r="H741" s="81"/>
      <c r="I741" s="93"/>
    </row>
    <row r="742" ht="14.25" customHeight="1" spans="2:9">
      <c r="B742" s="78"/>
      <c r="C742" s="79"/>
      <c r="E742" s="4"/>
      <c r="F742" s="80"/>
      <c r="G742" s="81"/>
      <c r="H742" s="81"/>
      <c r="I742" s="93"/>
    </row>
    <row r="743" ht="14.25" customHeight="1" spans="2:9">
      <c r="B743" s="78"/>
      <c r="C743" s="79"/>
      <c r="E743" s="4"/>
      <c r="F743" s="80"/>
      <c r="G743" s="81"/>
      <c r="H743" s="81"/>
      <c r="I743" s="93"/>
    </row>
    <row r="744" ht="14.25" customHeight="1" spans="2:9">
      <c r="B744" s="78"/>
      <c r="C744" s="79"/>
      <c r="E744" s="4"/>
      <c r="F744" s="80"/>
      <c r="G744" s="81"/>
      <c r="H744" s="81"/>
      <c r="I744" s="93"/>
    </row>
    <row r="745" ht="14.25" customHeight="1" spans="2:9">
      <c r="B745" s="78"/>
      <c r="C745" s="79"/>
      <c r="E745" s="4"/>
      <c r="F745" s="80"/>
      <c r="G745" s="81"/>
      <c r="H745" s="81"/>
      <c r="I745" s="93"/>
    </row>
    <row r="746" ht="14.25" customHeight="1" spans="2:9">
      <c r="B746" s="78"/>
      <c r="C746" s="79"/>
      <c r="E746" s="4"/>
      <c r="F746" s="80"/>
      <c r="G746" s="81"/>
      <c r="H746" s="81"/>
      <c r="I746" s="93"/>
    </row>
    <row r="747" ht="14.25" customHeight="1" spans="2:9">
      <c r="B747" s="78"/>
      <c r="C747" s="79"/>
      <c r="E747" s="4"/>
      <c r="F747" s="80"/>
      <c r="G747" s="81"/>
      <c r="H747" s="81"/>
      <c r="I747" s="93"/>
    </row>
    <row r="748" ht="14.25" customHeight="1" spans="2:9">
      <c r="B748" s="78"/>
      <c r="C748" s="79"/>
      <c r="E748" s="4"/>
      <c r="F748" s="80"/>
      <c r="G748" s="81"/>
      <c r="H748" s="81"/>
      <c r="I748" s="93"/>
    </row>
    <row r="749" ht="14.25" customHeight="1" spans="2:9">
      <c r="B749" s="78"/>
      <c r="C749" s="79"/>
      <c r="E749" s="4"/>
      <c r="F749" s="80"/>
      <c r="G749" s="81"/>
      <c r="H749" s="81"/>
      <c r="I749" s="93"/>
    </row>
    <row r="750" ht="14.25" customHeight="1" spans="2:9">
      <c r="B750" s="78"/>
      <c r="C750" s="79"/>
      <c r="E750" s="4"/>
      <c r="F750" s="80"/>
      <c r="G750" s="81"/>
      <c r="H750" s="81"/>
      <c r="I750" s="93"/>
    </row>
    <row r="751" ht="14.25" customHeight="1" spans="2:9">
      <c r="B751" s="78"/>
      <c r="C751" s="79"/>
      <c r="E751" s="4"/>
      <c r="F751" s="80"/>
      <c r="G751" s="81"/>
      <c r="H751" s="81"/>
      <c r="I751" s="93"/>
    </row>
    <row r="752" ht="14.25" customHeight="1" spans="2:9">
      <c r="B752" s="78"/>
      <c r="C752" s="79"/>
      <c r="E752" s="4"/>
      <c r="F752" s="80"/>
      <c r="G752" s="81"/>
      <c r="H752" s="81"/>
      <c r="I752" s="93"/>
    </row>
    <row r="753" ht="14.25" customHeight="1" spans="2:9">
      <c r="B753" s="78"/>
      <c r="C753" s="79"/>
      <c r="E753" s="4"/>
      <c r="F753" s="80"/>
      <c r="G753" s="81"/>
      <c r="H753" s="81"/>
      <c r="I753" s="93"/>
    </row>
    <row r="754" ht="14.25" customHeight="1" spans="2:9">
      <c r="B754" s="78"/>
      <c r="C754" s="79"/>
      <c r="E754" s="4"/>
      <c r="F754" s="80"/>
      <c r="G754" s="81"/>
      <c r="H754" s="81"/>
      <c r="I754" s="93"/>
    </row>
    <row r="755" ht="14.25" customHeight="1" spans="2:9">
      <c r="B755" s="78"/>
      <c r="C755" s="79"/>
      <c r="E755" s="4"/>
      <c r="F755" s="80"/>
      <c r="G755" s="81"/>
      <c r="H755" s="81"/>
      <c r="I755" s="93"/>
    </row>
    <row r="756" ht="14.25" customHeight="1" spans="2:9">
      <c r="B756" s="78"/>
      <c r="C756" s="79"/>
      <c r="E756" s="4"/>
      <c r="F756" s="80"/>
      <c r="G756" s="81"/>
      <c r="H756" s="81"/>
      <c r="I756" s="93"/>
    </row>
    <row r="757" ht="14.25" customHeight="1" spans="2:9">
      <c r="B757" s="78"/>
      <c r="C757" s="79"/>
      <c r="E757" s="4"/>
      <c r="F757" s="80"/>
      <c r="G757" s="81"/>
      <c r="H757" s="81"/>
      <c r="I757" s="93"/>
    </row>
    <row r="758" ht="14.25" customHeight="1" spans="2:9">
      <c r="B758" s="78"/>
      <c r="C758" s="79"/>
      <c r="E758" s="4"/>
      <c r="F758" s="80"/>
      <c r="G758" s="81"/>
      <c r="H758" s="81"/>
      <c r="I758" s="93"/>
    </row>
    <row r="759" ht="14.25" customHeight="1" spans="2:9">
      <c r="B759" s="78"/>
      <c r="C759" s="79"/>
      <c r="E759" s="4"/>
      <c r="F759" s="80"/>
      <c r="G759" s="81"/>
      <c r="H759" s="81"/>
      <c r="I759" s="93"/>
    </row>
    <row r="760" ht="14.25" customHeight="1" spans="2:9">
      <c r="B760" s="78"/>
      <c r="C760" s="79"/>
      <c r="E760" s="4"/>
      <c r="F760" s="80"/>
      <c r="G760" s="81"/>
      <c r="H760" s="81"/>
      <c r="I760" s="93"/>
    </row>
    <row r="761" ht="14.25" customHeight="1" spans="2:9">
      <c r="B761" s="78"/>
      <c r="C761" s="79"/>
      <c r="E761" s="4"/>
      <c r="F761" s="80"/>
      <c r="G761" s="81"/>
      <c r="H761" s="81"/>
      <c r="I761" s="93"/>
    </row>
    <row r="762" ht="14.25" customHeight="1" spans="2:9">
      <c r="B762" s="78"/>
      <c r="C762" s="79"/>
      <c r="E762" s="4"/>
      <c r="F762" s="80"/>
      <c r="G762" s="81"/>
      <c r="H762" s="81"/>
      <c r="I762" s="93"/>
    </row>
    <row r="763" ht="14.25" customHeight="1" spans="2:9">
      <c r="B763" s="78"/>
      <c r="C763" s="79"/>
      <c r="E763" s="4"/>
      <c r="F763" s="80"/>
      <c r="G763" s="81"/>
      <c r="H763" s="81"/>
      <c r="I763" s="93"/>
    </row>
    <row r="764" ht="14.25" customHeight="1" spans="2:9">
      <c r="B764" s="78"/>
      <c r="C764" s="79"/>
      <c r="E764" s="4"/>
      <c r="F764" s="80"/>
      <c r="G764" s="81"/>
      <c r="H764" s="81"/>
      <c r="I764" s="93"/>
    </row>
    <row r="765" ht="14.25" customHeight="1" spans="2:9">
      <c r="B765" s="78"/>
      <c r="C765" s="79"/>
      <c r="E765" s="4"/>
      <c r="F765" s="80"/>
      <c r="G765" s="81"/>
      <c r="H765" s="81"/>
      <c r="I765" s="93"/>
    </row>
    <row r="766" ht="14.25" customHeight="1" spans="2:9">
      <c r="B766" s="78"/>
      <c r="C766" s="79"/>
      <c r="E766" s="4"/>
      <c r="F766" s="80"/>
      <c r="G766" s="81"/>
      <c r="H766" s="81"/>
      <c r="I766" s="93"/>
    </row>
    <row r="767" ht="14.25" customHeight="1" spans="2:9">
      <c r="B767" s="78"/>
      <c r="C767" s="79"/>
      <c r="E767" s="4"/>
      <c r="F767" s="80"/>
      <c r="G767" s="81"/>
      <c r="H767" s="81"/>
      <c r="I767" s="93"/>
    </row>
    <row r="768" ht="14.25" customHeight="1" spans="2:9">
      <c r="B768" s="78"/>
      <c r="C768" s="79"/>
      <c r="E768" s="4"/>
      <c r="F768" s="80"/>
      <c r="G768" s="81"/>
      <c r="H768" s="81"/>
      <c r="I768" s="93"/>
    </row>
    <row r="769" ht="14.25" customHeight="1" spans="2:9">
      <c r="B769" s="78"/>
      <c r="C769" s="79"/>
      <c r="E769" s="4"/>
      <c r="F769" s="80"/>
      <c r="G769" s="81"/>
      <c r="H769" s="81"/>
      <c r="I769" s="93"/>
    </row>
    <row r="770" ht="14.25" customHeight="1" spans="2:9">
      <c r="B770" s="78"/>
      <c r="C770" s="79"/>
      <c r="E770" s="4"/>
      <c r="F770" s="80"/>
      <c r="G770" s="81"/>
      <c r="H770" s="81"/>
      <c r="I770" s="93"/>
    </row>
    <row r="771" ht="14.25" customHeight="1" spans="2:9">
      <c r="B771" s="78"/>
      <c r="C771" s="79"/>
      <c r="E771" s="4"/>
      <c r="F771" s="80"/>
      <c r="G771" s="81"/>
      <c r="H771" s="81"/>
      <c r="I771" s="93"/>
    </row>
    <row r="772" ht="14.25" customHeight="1" spans="2:9">
      <c r="B772" s="78"/>
      <c r="C772" s="79"/>
      <c r="E772" s="4"/>
      <c r="F772" s="80"/>
      <c r="G772" s="81"/>
      <c r="H772" s="81"/>
      <c r="I772" s="93"/>
    </row>
    <row r="773" ht="14.25" customHeight="1" spans="2:9">
      <c r="B773" s="78"/>
      <c r="C773" s="79"/>
      <c r="E773" s="4"/>
      <c r="F773" s="80"/>
      <c r="G773" s="81"/>
      <c r="H773" s="81"/>
      <c r="I773" s="93"/>
    </row>
    <row r="774" ht="14.25" customHeight="1" spans="2:9">
      <c r="B774" s="78"/>
      <c r="C774" s="79"/>
      <c r="E774" s="4"/>
      <c r="F774" s="80"/>
      <c r="G774" s="81"/>
      <c r="H774" s="81"/>
      <c r="I774" s="93"/>
    </row>
    <row r="775" ht="14.25" customHeight="1" spans="2:9">
      <c r="B775" s="78"/>
      <c r="C775" s="79"/>
      <c r="E775" s="4"/>
      <c r="F775" s="80"/>
      <c r="G775" s="81"/>
      <c r="H775" s="81"/>
      <c r="I775" s="93"/>
    </row>
    <row r="776" ht="14.25" customHeight="1" spans="2:9">
      <c r="B776" s="78"/>
      <c r="C776" s="79"/>
      <c r="E776" s="4"/>
      <c r="F776" s="80"/>
      <c r="G776" s="81"/>
      <c r="H776" s="81"/>
      <c r="I776" s="93"/>
    </row>
    <row r="777" ht="14.25" customHeight="1" spans="2:9">
      <c r="B777" s="78"/>
      <c r="C777" s="79"/>
      <c r="E777" s="4"/>
      <c r="F777" s="80"/>
      <c r="G777" s="81"/>
      <c r="H777" s="81"/>
      <c r="I777" s="93"/>
    </row>
    <row r="778" ht="14.25" customHeight="1" spans="2:9">
      <c r="B778" s="78"/>
      <c r="C778" s="79"/>
      <c r="E778" s="4"/>
      <c r="F778" s="80"/>
      <c r="G778" s="81"/>
      <c r="H778" s="81"/>
      <c r="I778" s="93"/>
    </row>
    <row r="779" ht="14.25" customHeight="1" spans="2:9">
      <c r="B779" s="78"/>
      <c r="C779" s="79"/>
      <c r="E779" s="4"/>
      <c r="F779" s="80"/>
      <c r="G779" s="81"/>
      <c r="H779" s="81"/>
      <c r="I779" s="93"/>
    </row>
    <row r="780" ht="14.25" customHeight="1" spans="2:9">
      <c r="B780" s="78"/>
      <c r="C780" s="79"/>
      <c r="E780" s="4"/>
      <c r="F780" s="80"/>
      <c r="G780" s="81"/>
      <c r="H780" s="81"/>
      <c r="I780" s="93"/>
    </row>
    <row r="781" ht="14.25" customHeight="1" spans="2:9">
      <c r="B781" s="78"/>
      <c r="C781" s="79"/>
      <c r="E781" s="4"/>
      <c r="F781" s="80"/>
      <c r="G781" s="81"/>
      <c r="H781" s="81"/>
      <c r="I781" s="93"/>
    </row>
    <row r="782" ht="14.25" customHeight="1" spans="2:9">
      <c r="B782" s="78"/>
      <c r="C782" s="79"/>
      <c r="E782" s="4"/>
      <c r="F782" s="80"/>
      <c r="G782" s="81"/>
      <c r="H782" s="81"/>
      <c r="I782" s="93"/>
    </row>
    <row r="783" ht="14.25" customHeight="1" spans="2:9">
      <c r="B783" s="78"/>
      <c r="C783" s="79"/>
      <c r="E783" s="4"/>
      <c r="F783" s="80"/>
      <c r="G783" s="81"/>
      <c r="H783" s="81"/>
      <c r="I783" s="93"/>
    </row>
    <row r="784" ht="14.25" customHeight="1" spans="2:9">
      <c r="B784" s="78"/>
      <c r="C784" s="79"/>
      <c r="E784" s="4"/>
      <c r="F784" s="80"/>
      <c r="G784" s="81"/>
      <c r="H784" s="81"/>
      <c r="I784" s="93"/>
    </row>
    <row r="785" ht="14.25" customHeight="1" spans="2:9">
      <c r="B785" s="78"/>
      <c r="C785" s="79"/>
      <c r="E785" s="4"/>
      <c r="F785" s="80"/>
      <c r="G785" s="81"/>
      <c r="H785" s="81"/>
      <c r="I785" s="93"/>
    </row>
    <row r="786" ht="14.25" customHeight="1" spans="2:9">
      <c r="B786" s="78"/>
      <c r="C786" s="79"/>
      <c r="E786" s="4"/>
      <c r="F786" s="80"/>
      <c r="G786" s="81"/>
      <c r="H786" s="81"/>
      <c r="I786" s="93"/>
    </row>
    <row r="787" ht="14.25" customHeight="1" spans="2:9">
      <c r="B787" s="78"/>
      <c r="C787" s="79"/>
      <c r="E787" s="4"/>
      <c r="F787" s="80"/>
      <c r="G787" s="81"/>
      <c r="H787" s="81"/>
      <c r="I787" s="93"/>
    </row>
    <row r="788" ht="14.25" customHeight="1" spans="2:9">
      <c r="B788" s="78"/>
      <c r="C788" s="79"/>
      <c r="E788" s="4"/>
      <c r="F788" s="80"/>
      <c r="G788" s="81"/>
      <c r="H788" s="81"/>
      <c r="I788" s="93"/>
    </row>
    <row r="789" ht="14.25" customHeight="1" spans="2:9">
      <c r="B789" s="78"/>
      <c r="C789" s="79"/>
      <c r="E789" s="4"/>
      <c r="F789" s="80"/>
      <c r="G789" s="81"/>
      <c r="H789" s="81"/>
      <c r="I789" s="93"/>
    </row>
    <row r="790" ht="14.25" customHeight="1" spans="2:9">
      <c r="B790" s="78"/>
      <c r="C790" s="79"/>
      <c r="E790" s="4"/>
      <c r="F790" s="80"/>
      <c r="G790" s="81"/>
      <c r="H790" s="81"/>
      <c r="I790" s="93"/>
    </row>
    <row r="791" ht="14.25" customHeight="1" spans="2:9">
      <c r="B791" s="78"/>
      <c r="C791" s="79"/>
      <c r="E791" s="4"/>
      <c r="F791" s="80"/>
      <c r="G791" s="81"/>
      <c r="H791" s="81"/>
      <c r="I791" s="93"/>
    </row>
    <row r="792" ht="14.25" customHeight="1" spans="2:9">
      <c r="B792" s="78"/>
      <c r="C792" s="79"/>
      <c r="E792" s="4"/>
      <c r="F792" s="80"/>
      <c r="G792" s="81"/>
      <c r="H792" s="81"/>
      <c r="I792" s="93"/>
    </row>
    <row r="793" ht="14.25" customHeight="1" spans="2:9">
      <c r="B793" s="78"/>
      <c r="C793" s="79"/>
      <c r="E793" s="4"/>
      <c r="F793" s="80"/>
      <c r="G793" s="81"/>
      <c r="H793" s="81"/>
      <c r="I793" s="93"/>
    </row>
    <row r="794" ht="14.25" customHeight="1" spans="2:9">
      <c r="B794" s="78"/>
      <c r="C794" s="79"/>
      <c r="E794" s="4"/>
      <c r="F794" s="80"/>
      <c r="G794" s="81"/>
      <c r="H794" s="81"/>
      <c r="I794" s="93"/>
    </row>
    <row r="795" ht="14.25" customHeight="1" spans="2:9">
      <c r="B795" s="78"/>
      <c r="C795" s="79"/>
      <c r="E795" s="4"/>
      <c r="F795" s="80"/>
      <c r="G795" s="81"/>
      <c r="H795" s="81"/>
      <c r="I795" s="93"/>
    </row>
    <row r="796" ht="14.25" customHeight="1" spans="2:9">
      <c r="B796" s="78"/>
      <c r="C796" s="79"/>
      <c r="E796" s="4"/>
      <c r="F796" s="80"/>
      <c r="G796" s="81"/>
      <c r="H796" s="81"/>
      <c r="I796" s="93"/>
    </row>
    <row r="797" ht="14.25" customHeight="1" spans="2:9">
      <c r="B797" s="78"/>
      <c r="C797" s="79"/>
      <c r="E797" s="4"/>
      <c r="F797" s="80"/>
      <c r="G797" s="81"/>
      <c r="H797" s="81"/>
      <c r="I797" s="93"/>
    </row>
    <row r="798" ht="14.25" customHeight="1" spans="2:9">
      <c r="B798" s="78"/>
      <c r="C798" s="79"/>
      <c r="E798" s="4"/>
      <c r="F798" s="80"/>
      <c r="G798" s="81"/>
      <c r="H798" s="81"/>
      <c r="I798" s="93"/>
    </row>
    <row r="799" ht="14.25" customHeight="1" spans="2:9">
      <c r="B799" s="78"/>
      <c r="C799" s="79"/>
      <c r="E799" s="4"/>
      <c r="F799" s="80"/>
      <c r="G799" s="81"/>
      <c r="H799" s="81"/>
      <c r="I799" s="93"/>
    </row>
    <row r="800" ht="14.25" customHeight="1" spans="2:9">
      <c r="B800" s="78"/>
      <c r="C800" s="79"/>
      <c r="E800" s="4"/>
      <c r="F800" s="80"/>
      <c r="G800" s="81"/>
      <c r="H800" s="81"/>
      <c r="I800" s="93"/>
    </row>
    <row r="801" ht="14.25" customHeight="1" spans="2:9">
      <c r="B801" s="78"/>
      <c r="C801" s="79"/>
      <c r="E801" s="4"/>
      <c r="F801" s="80"/>
      <c r="G801" s="81"/>
      <c r="H801" s="81"/>
      <c r="I801" s="93"/>
    </row>
    <row r="802" ht="14.25" customHeight="1" spans="2:9">
      <c r="B802" s="78"/>
      <c r="C802" s="79"/>
      <c r="E802" s="4"/>
      <c r="F802" s="80"/>
      <c r="G802" s="81"/>
      <c r="H802" s="81"/>
      <c r="I802" s="93"/>
    </row>
    <row r="803" ht="14.25" customHeight="1" spans="2:9">
      <c r="B803" s="78"/>
      <c r="C803" s="79"/>
      <c r="E803" s="4"/>
      <c r="F803" s="80"/>
      <c r="G803" s="81"/>
      <c r="H803" s="81"/>
      <c r="I803" s="93"/>
    </row>
    <row r="804" ht="14.25" customHeight="1" spans="2:9">
      <c r="B804" s="78"/>
      <c r="C804" s="79"/>
      <c r="E804" s="4"/>
      <c r="F804" s="80"/>
      <c r="G804" s="81"/>
      <c r="H804" s="81"/>
      <c r="I804" s="93"/>
    </row>
    <row r="805" ht="14.25" customHeight="1" spans="2:9">
      <c r="B805" s="78"/>
      <c r="C805" s="79"/>
      <c r="E805" s="4"/>
      <c r="F805" s="80"/>
      <c r="G805" s="81"/>
      <c r="H805" s="81"/>
      <c r="I805" s="93"/>
    </row>
    <row r="806" ht="14.25" customHeight="1" spans="2:9">
      <c r="B806" s="78"/>
      <c r="C806" s="79"/>
      <c r="E806" s="4"/>
      <c r="F806" s="80"/>
      <c r="G806" s="81"/>
      <c r="H806" s="81"/>
      <c r="I806" s="93"/>
    </row>
    <row r="807" ht="14.25" customHeight="1" spans="2:9">
      <c r="B807" s="78"/>
      <c r="C807" s="79"/>
      <c r="E807" s="4"/>
      <c r="F807" s="80"/>
      <c r="G807" s="81"/>
      <c r="H807" s="81"/>
      <c r="I807" s="93"/>
    </row>
    <row r="808" ht="14.25" customHeight="1" spans="2:9">
      <c r="B808" s="78"/>
      <c r="C808" s="79"/>
      <c r="E808" s="4"/>
      <c r="F808" s="80"/>
      <c r="G808" s="81"/>
      <c r="H808" s="81"/>
      <c r="I808" s="93"/>
    </row>
    <row r="809" ht="14.25" customHeight="1" spans="2:9">
      <c r="B809" s="78"/>
      <c r="C809" s="79"/>
      <c r="E809" s="4"/>
      <c r="F809" s="80"/>
      <c r="G809" s="81"/>
      <c r="H809" s="81"/>
      <c r="I809" s="93"/>
    </row>
    <row r="810" ht="14.25" customHeight="1" spans="2:9">
      <c r="B810" s="78"/>
      <c r="C810" s="79"/>
      <c r="E810" s="4"/>
      <c r="F810" s="80"/>
      <c r="G810" s="81"/>
      <c r="H810" s="81"/>
      <c r="I810" s="93"/>
    </row>
    <row r="811" ht="14.25" customHeight="1" spans="2:9">
      <c r="B811" s="78"/>
      <c r="C811" s="79"/>
      <c r="E811" s="4"/>
      <c r="F811" s="80"/>
      <c r="G811" s="81"/>
      <c r="H811" s="81"/>
      <c r="I811" s="93"/>
    </row>
    <row r="812" ht="14.25" customHeight="1" spans="2:9">
      <c r="B812" s="78"/>
      <c r="C812" s="79"/>
      <c r="E812" s="4"/>
      <c r="F812" s="80"/>
      <c r="G812" s="81"/>
      <c r="H812" s="81"/>
      <c r="I812" s="93"/>
    </row>
    <row r="813" ht="14.25" customHeight="1" spans="2:9">
      <c r="B813" s="78"/>
      <c r="C813" s="79"/>
      <c r="E813" s="4"/>
      <c r="F813" s="80"/>
      <c r="G813" s="81"/>
      <c r="H813" s="81"/>
      <c r="I813" s="93"/>
    </row>
    <row r="814" ht="14.25" customHeight="1" spans="2:9">
      <c r="B814" s="78"/>
      <c r="C814" s="79"/>
      <c r="E814" s="4"/>
      <c r="F814" s="80"/>
      <c r="G814" s="81"/>
      <c r="H814" s="81"/>
      <c r="I814" s="93"/>
    </row>
    <row r="815" ht="14.25" customHeight="1" spans="2:9">
      <c r="B815" s="78"/>
      <c r="C815" s="79"/>
      <c r="E815" s="4"/>
      <c r="F815" s="80"/>
      <c r="G815" s="81"/>
      <c r="H815" s="81"/>
      <c r="I815" s="93"/>
    </row>
    <row r="816" ht="14.25" customHeight="1" spans="2:9">
      <c r="B816" s="78"/>
      <c r="C816" s="79"/>
      <c r="E816" s="4"/>
      <c r="F816" s="80"/>
      <c r="G816" s="81"/>
      <c r="H816" s="81"/>
      <c r="I816" s="93"/>
    </row>
    <row r="817" ht="14.25" customHeight="1" spans="2:9">
      <c r="B817" s="78"/>
      <c r="C817" s="79"/>
      <c r="E817" s="4"/>
      <c r="F817" s="80"/>
      <c r="G817" s="81"/>
      <c r="H817" s="81"/>
      <c r="I817" s="93"/>
    </row>
    <row r="818" ht="14.25" customHeight="1" spans="2:9">
      <c r="B818" s="78"/>
      <c r="C818" s="79"/>
      <c r="E818" s="4"/>
      <c r="F818" s="80"/>
      <c r="G818" s="81"/>
      <c r="H818" s="81"/>
      <c r="I818" s="93"/>
    </row>
    <row r="819" ht="14.25" customHeight="1" spans="2:9">
      <c r="B819" s="78"/>
      <c r="C819" s="79"/>
      <c r="E819" s="4"/>
      <c r="F819" s="80"/>
      <c r="G819" s="81"/>
      <c r="H819" s="81"/>
      <c r="I819" s="93"/>
    </row>
    <row r="820" ht="14.25" customHeight="1" spans="2:9">
      <c r="B820" s="78"/>
      <c r="C820" s="79"/>
      <c r="E820" s="4"/>
      <c r="F820" s="80"/>
      <c r="G820" s="81"/>
      <c r="H820" s="81"/>
      <c r="I820" s="93"/>
    </row>
    <row r="821" ht="14.25" customHeight="1" spans="2:9">
      <c r="B821" s="78"/>
      <c r="C821" s="79"/>
      <c r="E821" s="4"/>
      <c r="F821" s="80"/>
      <c r="G821" s="81"/>
      <c r="H821" s="81"/>
      <c r="I821" s="93"/>
    </row>
    <row r="822" ht="14.25" customHeight="1" spans="2:9">
      <c r="B822" s="78"/>
      <c r="C822" s="79"/>
      <c r="E822" s="4"/>
      <c r="F822" s="80"/>
      <c r="G822" s="81"/>
      <c r="H822" s="81"/>
      <c r="I822" s="93"/>
    </row>
    <row r="823" ht="14.25" customHeight="1" spans="2:9">
      <c r="B823" s="78"/>
      <c r="C823" s="79"/>
      <c r="E823" s="4"/>
      <c r="F823" s="80"/>
      <c r="G823" s="81"/>
      <c r="H823" s="81"/>
      <c r="I823" s="93"/>
    </row>
    <row r="824" ht="14.25" customHeight="1" spans="2:9">
      <c r="B824" s="78"/>
      <c r="C824" s="79"/>
      <c r="E824" s="4"/>
      <c r="F824" s="80"/>
      <c r="G824" s="81"/>
      <c r="H824" s="81"/>
      <c r="I824" s="93"/>
    </row>
    <row r="825" ht="14.25" customHeight="1" spans="2:9">
      <c r="B825" s="78"/>
      <c r="C825" s="79"/>
      <c r="E825" s="4"/>
      <c r="F825" s="80"/>
      <c r="G825" s="81"/>
      <c r="H825" s="81"/>
      <c r="I825" s="93"/>
    </row>
    <row r="826" ht="14.25" customHeight="1" spans="2:9">
      <c r="B826" s="78"/>
      <c r="C826" s="79"/>
      <c r="E826" s="4"/>
      <c r="F826" s="80"/>
      <c r="G826" s="81"/>
      <c r="H826" s="81"/>
      <c r="I826" s="93"/>
    </row>
    <row r="827" ht="14.25" customHeight="1" spans="2:9">
      <c r="B827" s="78"/>
      <c r="C827" s="79"/>
      <c r="E827" s="4"/>
      <c r="F827" s="80"/>
      <c r="G827" s="81"/>
      <c r="H827" s="81"/>
      <c r="I827" s="93"/>
    </row>
    <row r="828" ht="14.25" customHeight="1" spans="2:9">
      <c r="B828" s="78"/>
      <c r="C828" s="79"/>
      <c r="E828" s="4"/>
      <c r="F828" s="80"/>
      <c r="G828" s="81"/>
      <c r="H828" s="81"/>
      <c r="I828" s="93"/>
    </row>
    <row r="829" ht="14.25" customHeight="1" spans="2:9">
      <c r="B829" s="78"/>
      <c r="C829" s="79"/>
      <c r="E829" s="4"/>
      <c r="F829" s="80"/>
      <c r="G829" s="81"/>
      <c r="H829" s="81"/>
      <c r="I829" s="93"/>
    </row>
    <row r="830" ht="14.25" customHeight="1" spans="2:9">
      <c r="B830" s="78"/>
      <c r="C830" s="79"/>
      <c r="E830" s="4"/>
      <c r="F830" s="80"/>
      <c r="G830" s="81"/>
      <c r="H830" s="81"/>
      <c r="I830" s="93"/>
    </row>
    <row r="831" ht="14.25" customHeight="1" spans="2:9">
      <c r="B831" s="78"/>
      <c r="C831" s="79"/>
      <c r="E831" s="4"/>
      <c r="F831" s="80"/>
      <c r="G831" s="81"/>
      <c r="H831" s="81"/>
      <c r="I831" s="93"/>
    </row>
    <row r="832" ht="14.25" customHeight="1" spans="2:9">
      <c r="B832" s="78"/>
      <c r="C832" s="79"/>
      <c r="E832" s="4"/>
      <c r="F832" s="80"/>
      <c r="G832" s="81"/>
      <c r="H832" s="81"/>
      <c r="I832" s="93"/>
    </row>
    <row r="833" ht="14.25" customHeight="1" spans="2:9">
      <c r="B833" s="78"/>
      <c r="C833" s="79"/>
      <c r="E833" s="4"/>
      <c r="F833" s="80"/>
      <c r="G833" s="81"/>
      <c r="H833" s="81"/>
      <c r="I833" s="93"/>
    </row>
    <row r="834" ht="14.25" customHeight="1" spans="2:9">
      <c r="B834" s="78"/>
      <c r="C834" s="79"/>
      <c r="E834" s="4"/>
      <c r="F834" s="80"/>
      <c r="G834" s="81"/>
      <c r="H834" s="81"/>
      <c r="I834" s="93"/>
    </row>
    <row r="835" ht="14.25" customHeight="1" spans="2:9">
      <c r="B835" s="78"/>
      <c r="C835" s="79"/>
      <c r="E835" s="4"/>
      <c r="F835" s="80"/>
      <c r="G835" s="81"/>
      <c r="H835" s="81"/>
      <c r="I835" s="93"/>
    </row>
    <row r="836" ht="14.25" customHeight="1" spans="2:9">
      <c r="B836" s="78"/>
      <c r="C836" s="79"/>
      <c r="E836" s="4"/>
      <c r="F836" s="80"/>
      <c r="G836" s="81"/>
      <c r="H836" s="81"/>
      <c r="I836" s="93"/>
    </row>
    <row r="837" ht="14.25" customHeight="1" spans="2:9">
      <c r="B837" s="78"/>
      <c r="C837" s="79"/>
      <c r="E837" s="4"/>
      <c r="F837" s="80"/>
      <c r="G837" s="81"/>
      <c r="H837" s="81"/>
      <c r="I837" s="93"/>
    </row>
    <row r="838" ht="14.25" customHeight="1" spans="2:9">
      <c r="B838" s="78"/>
      <c r="C838" s="79"/>
      <c r="E838" s="4"/>
      <c r="F838" s="80"/>
      <c r="G838" s="81"/>
      <c r="H838" s="81"/>
      <c r="I838" s="93"/>
    </row>
    <row r="839" ht="14.25" customHeight="1" spans="2:9">
      <c r="B839" s="78"/>
      <c r="C839" s="79"/>
      <c r="E839" s="4"/>
      <c r="F839" s="80"/>
      <c r="G839" s="81"/>
      <c r="H839" s="81"/>
      <c r="I839" s="93"/>
    </row>
    <row r="840" ht="14.25" customHeight="1" spans="2:9">
      <c r="B840" s="78"/>
      <c r="C840" s="79"/>
      <c r="E840" s="4"/>
      <c r="F840" s="80"/>
      <c r="G840" s="81"/>
      <c r="H840" s="81"/>
      <c r="I840" s="93"/>
    </row>
    <row r="841" ht="14.25" customHeight="1" spans="2:9">
      <c r="B841" s="78"/>
      <c r="C841" s="79"/>
      <c r="E841" s="4"/>
      <c r="F841" s="80"/>
      <c r="G841" s="81"/>
      <c r="H841" s="81"/>
      <c r="I841" s="93"/>
    </row>
    <row r="842" ht="14.25" customHeight="1" spans="2:9">
      <c r="B842" s="78"/>
      <c r="C842" s="79"/>
      <c r="E842" s="4"/>
      <c r="F842" s="80"/>
      <c r="G842" s="81"/>
      <c r="H842" s="81"/>
      <c r="I842" s="93"/>
    </row>
    <row r="843" ht="14.25" customHeight="1" spans="2:9">
      <c r="B843" s="78"/>
      <c r="C843" s="79"/>
      <c r="E843" s="4"/>
      <c r="F843" s="80"/>
      <c r="G843" s="81"/>
      <c r="H843" s="81"/>
      <c r="I843" s="93"/>
    </row>
    <row r="844" ht="14.25" customHeight="1" spans="2:9">
      <c r="B844" s="78"/>
      <c r="C844" s="79"/>
      <c r="E844" s="4"/>
      <c r="F844" s="80"/>
      <c r="G844" s="81"/>
      <c r="H844" s="81"/>
      <c r="I844" s="93"/>
    </row>
    <row r="845" ht="14.25" customHeight="1" spans="2:9">
      <c r="B845" s="78"/>
      <c r="C845" s="79"/>
      <c r="E845" s="4"/>
      <c r="F845" s="80"/>
      <c r="G845" s="81"/>
      <c r="H845" s="81"/>
      <c r="I845" s="93"/>
    </row>
    <row r="846" ht="14.25" customHeight="1" spans="2:9">
      <c r="B846" s="78"/>
      <c r="C846" s="79"/>
      <c r="E846" s="4"/>
      <c r="F846" s="80"/>
      <c r="G846" s="81"/>
      <c r="H846" s="81"/>
      <c r="I846" s="93"/>
    </row>
    <row r="847" ht="14.25" customHeight="1" spans="2:9">
      <c r="B847" s="78"/>
      <c r="C847" s="79"/>
      <c r="E847" s="4"/>
      <c r="F847" s="80"/>
      <c r="G847" s="81"/>
      <c r="H847" s="81"/>
      <c r="I847" s="93"/>
    </row>
    <row r="848" ht="14.25" customHeight="1" spans="2:9">
      <c r="B848" s="78"/>
      <c r="C848" s="79"/>
      <c r="E848" s="4"/>
      <c r="F848" s="80"/>
      <c r="G848" s="81"/>
      <c r="H848" s="81"/>
      <c r="I848" s="93"/>
    </row>
    <row r="849" ht="14.25" customHeight="1" spans="2:9">
      <c r="B849" s="78"/>
      <c r="C849" s="79"/>
      <c r="E849" s="4"/>
      <c r="F849" s="80"/>
      <c r="G849" s="81"/>
      <c r="H849" s="81"/>
      <c r="I849" s="93"/>
    </row>
    <row r="850" ht="14.25" customHeight="1" spans="2:9">
      <c r="B850" s="78"/>
      <c r="C850" s="79"/>
      <c r="E850" s="4"/>
      <c r="F850" s="80"/>
      <c r="G850" s="81"/>
      <c r="H850" s="81"/>
      <c r="I850" s="93"/>
    </row>
    <row r="851" ht="14.25" customHeight="1" spans="2:9">
      <c r="B851" s="78"/>
      <c r="C851" s="79"/>
      <c r="E851" s="4"/>
      <c r="F851" s="80"/>
      <c r="G851" s="81"/>
      <c r="H851" s="81"/>
      <c r="I851" s="93"/>
    </row>
    <row r="852" ht="14.25" customHeight="1" spans="2:9">
      <c r="B852" s="78"/>
      <c r="C852" s="79"/>
      <c r="E852" s="4"/>
      <c r="F852" s="80"/>
      <c r="G852" s="81"/>
      <c r="H852" s="81"/>
      <c r="I852" s="93"/>
    </row>
    <row r="853" ht="14.25" customHeight="1" spans="2:9">
      <c r="B853" s="78"/>
      <c r="C853" s="79"/>
      <c r="E853" s="4"/>
      <c r="F853" s="80"/>
      <c r="G853" s="81"/>
      <c r="H853" s="81"/>
      <c r="I853" s="93"/>
    </row>
    <row r="854" ht="14.25" customHeight="1" spans="2:9">
      <c r="B854" s="78"/>
      <c r="C854" s="79"/>
      <c r="E854" s="4"/>
      <c r="F854" s="80"/>
      <c r="G854" s="81"/>
      <c r="H854" s="81"/>
      <c r="I854" s="93"/>
    </row>
    <row r="855" ht="14.25" customHeight="1" spans="2:9">
      <c r="B855" s="78"/>
      <c r="C855" s="79"/>
      <c r="E855" s="4"/>
      <c r="F855" s="80"/>
      <c r="G855" s="81"/>
      <c r="H855" s="81"/>
      <c r="I855" s="93"/>
    </row>
    <row r="856" ht="14.25" customHeight="1" spans="2:9">
      <c r="B856" s="78"/>
      <c r="C856" s="79"/>
      <c r="E856" s="4"/>
      <c r="F856" s="80"/>
      <c r="G856" s="81"/>
      <c r="H856" s="81"/>
      <c r="I856" s="93"/>
    </row>
    <row r="857" ht="14.25" customHeight="1" spans="2:9">
      <c r="B857" s="78"/>
      <c r="C857" s="79"/>
      <c r="E857" s="4"/>
      <c r="F857" s="80"/>
      <c r="G857" s="81"/>
      <c r="H857" s="81"/>
      <c r="I857" s="93"/>
    </row>
    <row r="858" ht="14.25" customHeight="1" spans="2:9">
      <c r="B858" s="78"/>
      <c r="C858" s="79"/>
      <c r="E858" s="4"/>
      <c r="F858" s="80"/>
      <c r="G858" s="81"/>
      <c r="H858" s="81"/>
      <c r="I858" s="93"/>
    </row>
    <row r="859" ht="14.25" customHeight="1" spans="2:9">
      <c r="B859" s="78"/>
      <c r="C859" s="79"/>
      <c r="E859" s="4"/>
      <c r="F859" s="80"/>
      <c r="G859" s="81"/>
      <c r="H859" s="81"/>
      <c r="I859" s="93"/>
    </row>
    <row r="860" ht="14.25" customHeight="1" spans="2:9">
      <c r="B860" s="78"/>
      <c r="C860" s="79"/>
      <c r="E860" s="4"/>
      <c r="F860" s="80"/>
      <c r="G860" s="81"/>
      <c r="H860" s="81"/>
      <c r="I860" s="93"/>
    </row>
    <row r="861" ht="14.25" customHeight="1" spans="2:9">
      <c r="B861" s="78"/>
      <c r="C861" s="79"/>
      <c r="E861" s="4"/>
      <c r="F861" s="80"/>
      <c r="G861" s="81"/>
      <c r="H861" s="81"/>
      <c r="I861" s="93"/>
    </row>
    <row r="862" ht="14.25" customHeight="1" spans="2:9">
      <c r="B862" s="78"/>
      <c r="C862" s="79"/>
      <c r="E862" s="4"/>
      <c r="F862" s="80"/>
      <c r="G862" s="81"/>
      <c r="H862" s="81"/>
      <c r="I862" s="93"/>
    </row>
    <row r="863" ht="14.25" customHeight="1" spans="2:9">
      <c r="B863" s="78"/>
      <c r="C863" s="79"/>
      <c r="E863" s="4"/>
      <c r="F863" s="80"/>
      <c r="G863" s="81"/>
      <c r="H863" s="81"/>
      <c r="I863" s="93"/>
    </row>
    <row r="864" ht="14.25" customHeight="1" spans="2:9">
      <c r="B864" s="78"/>
      <c r="C864" s="79"/>
      <c r="E864" s="4"/>
      <c r="F864" s="80"/>
      <c r="G864" s="81"/>
      <c r="H864" s="81"/>
      <c r="I864" s="93"/>
    </row>
    <row r="865" ht="14.25" customHeight="1" spans="2:9">
      <c r="B865" s="78"/>
      <c r="C865" s="79"/>
      <c r="E865" s="4"/>
      <c r="F865" s="80"/>
      <c r="G865" s="81"/>
      <c r="H865" s="81"/>
      <c r="I865" s="93"/>
    </row>
    <row r="866" ht="14.25" customHeight="1" spans="2:9">
      <c r="B866" s="78"/>
      <c r="C866" s="79"/>
      <c r="E866" s="4"/>
      <c r="F866" s="80"/>
      <c r="G866" s="81"/>
      <c r="H866" s="81"/>
      <c r="I866" s="93"/>
    </row>
    <row r="867" ht="14.25" customHeight="1" spans="2:9">
      <c r="B867" s="78"/>
      <c r="C867" s="79"/>
      <c r="E867" s="4"/>
      <c r="F867" s="80"/>
      <c r="G867" s="81"/>
      <c r="H867" s="81"/>
      <c r="I867" s="93"/>
    </row>
    <row r="868" ht="14.25" customHeight="1" spans="2:9">
      <c r="B868" s="78"/>
      <c r="C868" s="79"/>
      <c r="E868" s="4"/>
      <c r="F868" s="80"/>
      <c r="G868" s="81"/>
      <c r="H868" s="81"/>
      <c r="I868" s="93"/>
    </row>
    <row r="869" ht="14.25" customHeight="1" spans="2:9">
      <c r="B869" s="78"/>
      <c r="C869" s="79"/>
      <c r="E869" s="4"/>
      <c r="F869" s="80"/>
      <c r="G869" s="81"/>
      <c r="H869" s="81"/>
      <c r="I869" s="93"/>
    </row>
    <row r="870" ht="14.25" customHeight="1" spans="2:9">
      <c r="B870" s="78"/>
      <c r="C870" s="79"/>
      <c r="E870" s="4"/>
      <c r="F870" s="80"/>
      <c r="G870" s="81"/>
      <c r="H870" s="81"/>
      <c r="I870" s="93"/>
    </row>
    <row r="871" ht="14.25" customHeight="1" spans="2:9">
      <c r="B871" s="78"/>
      <c r="C871" s="79"/>
      <c r="E871" s="4"/>
      <c r="F871" s="80"/>
      <c r="G871" s="81"/>
      <c r="H871" s="81"/>
      <c r="I871" s="93"/>
    </row>
    <row r="872" ht="14.25" customHeight="1" spans="2:9">
      <c r="B872" s="78"/>
      <c r="C872" s="79"/>
      <c r="E872" s="4"/>
      <c r="F872" s="80"/>
      <c r="G872" s="81"/>
      <c r="H872" s="81"/>
      <c r="I872" s="93"/>
    </row>
    <row r="873" ht="14.25" customHeight="1" spans="2:9">
      <c r="B873" s="78"/>
      <c r="C873" s="79"/>
      <c r="E873" s="4"/>
      <c r="F873" s="80"/>
      <c r="G873" s="81"/>
      <c r="H873" s="81"/>
      <c r="I873" s="93"/>
    </row>
    <row r="874" ht="14.25" customHeight="1" spans="2:9">
      <c r="B874" s="78"/>
      <c r="C874" s="79"/>
      <c r="E874" s="4"/>
      <c r="F874" s="80"/>
      <c r="G874" s="81"/>
      <c r="H874" s="81"/>
      <c r="I874" s="93"/>
    </row>
    <row r="875" ht="14.25" customHeight="1" spans="2:9">
      <c r="B875" s="78"/>
      <c r="C875" s="79"/>
      <c r="E875" s="4"/>
      <c r="F875" s="80"/>
      <c r="G875" s="81"/>
      <c r="H875" s="81"/>
      <c r="I875" s="93"/>
    </row>
    <row r="876" ht="14.25" customHeight="1" spans="2:9">
      <c r="B876" s="78"/>
      <c r="C876" s="79"/>
      <c r="E876" s="4"/>
      <c r="F876" s="80"/>
      <c r="G876" s="81"/>
      <c r="H876" s="81"/>
      <c r="I876" s="93"/>
    </row>
    <row r="877" ht="14.25" customHeight="1" spans="2:9">
      <c r="B877" s="78"/>
      <c r="C877" s="79"/>
      <c r="E877" s="4"/>
      <c r="F877" s="80"/>
      <c r="G877" s="81"/>
      <c r="H877" s="81"/>
      <c r="I877" s="93"/>
    </row>
    <row r="878" ht="14.25" customHeight="1" spans="2:9">
      <c r="B878" s="78"/>
      <c r="C878" s="79"/>
      <c r="E878" s="4"/>
      <c r="F878" s="80"/>
      <c r="G878" s="81"/>
      <c r="H878" s="81"/>
      <c r="I878" s="93"/>
    </row>
    <row r="879" ht="14.25" customHeight="1" spans="2:9">
      <c r="B879" s="78"/>
      <c r="C879" s="79"/>
      <c r="E879" s="4"/>
      <c r="F879" s="80"/>
      <c r="G879" s="81"/>
      <c r="H879" s="81"/>
      <c r="I879" s="93"/>
    </row>
    <row r="880" ht="14.25" customHeight="1" spans="2:9">
      <c r="B880" s="78"/>
      <c r="C880" s="79"/>
      <c r="E880" s="4"/>
      <c r="F880" s="80"/>
      <c r="G880" s="81"/>
      <c r="H880" s="81"/>
      <c r="I880" s="93"/>
    </row>
    <row r="881" ht="14.25" customHeight="1" spans="2:9">
      <c r="B881" s="78"/>
      <c r="C881" s="79"/>
      <c r="E881" s="4"/>
      <c r="F881" s="80"/>
      <c r="G881" s="81"/>
      <c r="H881" s="81"/>
      <c r="I881" s="93"/>
    </row>
    <row r="882" ht="14.25" customHeight="1" spans="2:9">
      <c r="B882" s="78"/>
      <c r="C882" s="79"/>
      <c r="E882" s="4"/>
      <c r="F882" s="80"/>
      <c r="G882" s="81"/>
      <c r="H882" s="81"/>
      <c r="I882" s="93"/>
    </row>
    <row r="883" ht="14.25" customHeight="1" spans="2:9">
      <c r="B883" s="78"/>
      <c r="C883" s="79"/>
      <c r="E883" s="4"/>
      <c r="F883" s="80"/>
      <c r="G883" s="81"/>
      <c r="H883" s="81"/>
      <c r="I883" s="93"/>
    </row>
    <row r="884" ht="14.25" customHeight="1" spans="2:9">
      <c r="B884" s="78"/>
      <c r="C884" s="79"/>
      <c r="E884" s="4"/>
      <c r="F884" s="80"/>
      <c r="G884" s="81"/>
      <c r="H884" s="81"/>
      <c r="I884" s="93"/>
    </row>
    <row r="885" ht="14.25" customHeight="1" spans="2:9">
      <c r="B885" s="78"/>
      <c r="C885" s="79"/>
      <c r="E885" s="4"/>
      <c r="F885" s="80"/>
      <c r="G885" s="81"/>
      <c r="H885" s="81"/>
      <c r="I885" s="93"/>
    </row>
    <row r="886" ht="14.25" customHeight="1" spans="2:9">
      <c r="B886" s="78"/>
      <c r="C886" s="79"/>
      <c r="E886" s="4"/>
      <c r="F886" s="80"/>
      <c r="G886" s="81"/>
      <c r="H886" s="81"/>
      <c r="I886" s="93"/>
    </row>
    <row r="887" ht="14.25" customHeight="1" spans="2:9">
      <c r="B887" s="78"/>
      <c r="C887" s="79"/>
      <c r="E887" s="4"/>
      <c r="F887" s="80"/>
      <c r="G887" s="81"/>
      <c r="H887" s="81"/>
      <c r="I887" s="93"/>
    </row>
    <row r="888" ht="14.25" customHeight="1" spans="2:9">
      <c r="B888" s="78"/>
      <c r="C888" s="79"/>
      <c r="E888" s="4"/>
      <c r="F888" s="80"/>
      <c r="G888" s="81"/>
      <c r="H888" s="81"/>
      <c r="I888" s="93"/>
    </row>
    <row r="889" ht="14.25" customHeight="1" spans="2:9">
      <c r="B889" s="78"/>
      <c r="C889" s="79"/>
      <c r="E889" s="4"/>
      <c r="F889" s="80"/>
      <c r="G889" s="81"/>
      <c r="H889" s="81"/>
      <c r="I889" s="93"/>
    </row>
    <row r="890" ht="14.25" customHeight="1" spans="2:9">
      <c r="B890" s="78"/>
      <c r="C890" s="79"/>
      <c r="E890" s="4"/>
      <c r="F890" s="80"/>
      <c r="G890" s="81"/>
      <c r="H890" s="81"/>
      <c r="I890" s="93"/>
    </row>
    <row r="891" ht="14.25" customHeight="1" spans="2:9">
      <c r="B891" s="78"/>
      <c r="C891" s="79"/>
      <c r="E891" s="4"/>
      <c r="F891" s="80"/>
      <c r="G891" s="81"/>
      <c r="H891" s="81"/>
      <c r="I891" s="93"/>
    </row>
    <row r="892" ht="14.25" customHeight="1" spans="2:9">
      <c r="B892" s="78"/>
      <c r="C892" s="79"/>
      <c r="E892" s="4"/>
      <c r="F892" s="80"/>
      <c r="G892" s="81"/>
      <c r="H892" s="81"/>
      <c r="I892" s="93"/>
    </row>
    <row r="893" ht="14.25" customHeight="1" spans="2:9">
      <c r="B893" s="78"/>
      <c r="C893" s="79"/>
      <c r="E893" s="4"/>
      <c r="F893" s="80"/>
      <c r="G893" s="81"/>
      <c r="H893" s="81"/>
      <c r="I893" s="93"/>
    </row>
    <row r="894" ht="14.25" customHeight="1" spans="2:9">
      <c r="B894" s="78"/>
      <c r="C894" s="79"/>
      <c r="E894" s="4"/>
      <c r="F894" s="80"/>
      <c r="G894" s="81"/>
      <c r="H894" s="81"/>
      <c r="I894" s="93"/>
    </row>
    <row r="895" ht="14.25" customHeight="1" spans="2:9">
      <c r="B895" s="78"/>
      <c r="C895" s="79"/>
      <c r="E895" s="4"/>
      <c r="F895" s="80"/>
      <c r="G895" s="81"/>
      <c r="H895" s="81"/>
      <c r="I895" s="93"/>
    </row>
    <row r="896" ht="14.25" customHeight="1" spans="2:9">
      <c r="B896" s="78"/>
      <c r="C896" s="79"/>
      <c r="E896" s="4"/>
      <c r="F896" s="80"/>
      <c r="G896" s="81"/>
      <c r="H896" s="81"/>
      <c r="I896" s="93"/>
    </row>
    <row r="897" ht="14.25" customHeight="1" spans="2:9">
      <c r="B897" s="78"/>
      <c r="C897" s="79"/>
      <c r="E897" s="4"/>
      <c r="F897" s="80"/>
      <c r="G897" s="81"/>
      <c r="H897" s="81"/>
      <c r="I897" s="93"/>
    </row>
    <row r="898" ht="14.25" customHeight="1" spans="2:9">
      <c r="B898" s="78"/>
      <c r="C898" s="79"/>
      <c r="E898" s="4"/>
      <c r="F898" s="80"/>
      <c r="G898" s="81"/>
      <c r="H898" s="81"/>
      <c r="I898" s="93"/>
    </row>
    <row r="899" ht="14.25" customHeight="1" spans="2:9">
      <c r="B899" s="78"/>
      <c r="C899" s="79"/>
      <c r="E899" s="4"/>
      <c r="F899" s="80"/>
      <c r="G899" s="81"/>
      <c r="H899" s="81"/>
      <c r="I899" s="93"/>
    </row>
    <row r="900" ht="14.25" customHeight="1" spans="2:9">
      <c r="B900" s="78"/>
      <c r="C900" s="79"/>
      <c r="E900" s="4"/>
      <c r="F900" s="80"/>
      <c r="G900" s="81"/>
      <c r="H900" s="81"/>
      <c r="I900" s="93"/>
    </row>
    <row r="901" ht="14.25" customHeight="1" spans="2:9">
      <c r="B901" s="78"/>
      <c r="C901" s="79"/>
      <c r="E901" s="4"/>
      <c r="F901" s="80"/>
      <c r="G901" s="81"/>
      <c r="H901" s="81"/>
      <c r="I901" s="93"/>
    </row>
    <row r="902" ht="14.25" customHeight="1" spans="2:9">
      <c r="B902" s="78"/>
      <c r="C902" s="79"/>
      <c r="E902" s="4"/>
      <c r="F902" s="80"/>
      <c r="G902" s="81"/>
      <c r="H902" s="81"/>
      <c r="I902" s="93"/>
    </row>
    <row r="903" ht="14.25" customHeight="1" spans="2:9">
      <c r="B903" s="78"/>
      <c r="C903" s="79"/>
      <c r="E903" s="4"/>
      <c r="F903" s="80"/>
      <c r="G903" s="81"/>
      <c r="H903" s="81"/>
      <c r="I903" s="93"/>
    </row>
    <row r="904" ht="14.25" customHeight="1" spans="2:9">
      <c r="B904" s="78"/>
      <c r="C904" s="79"/>
      <c r="E904" s="4"/>
      <c r="F904" s="80"/>
      <c r="G904" s="81"/>
      <c r="H904" s="81"/>
      <c r="I904" s="93"/>
    </row>
    <row r="905" ht="14.25" customHeight="1" spans="2:9">
      <c r="B905" s="78"/>
      <c r="C905" s="79"/>
      <c r="E905" s="4"/>
      <c r="F905" s="80"/>
      <c r="G905" s="81"/>
      <c r="H905" s="81"/>
      <c r="I905" s="93"/>
    </row>
    <row r="906" ht="14.25" customHeight="1" spans="2:9">
      <c r="B906" s="78"/>
      <c r="C906" s="79"/>
      <c r="E906" s="4"/>
      <c r="F906" s="80"/>
      <c r="G906" s="81"/>
      <c r="H906" s="81"/>
      <c r="I906" s="93"/>
    </row>
    <row r="907" ht="14.25" customHeight="1" spans="2:9">
      <c r="B907" s="78"/>
      <c r="C907" s="79"/>
      <c r="E907" s="4"/>
      <c r="F907" s="80"/>
      <c r="G907" s="81"/>
      <c r="H907" s="81"/>
      <c r="I907" s="93"/>
    </row>
    <row r="908" ht="14.25" customHeight="1" spans="2:9">
      <c r="B908" s="78"/>
      <c r="C908" s="79"/>
      <c r="E908" s="4"/>
      <c r="F908" s="80"/>
      <c r="G908" s="81"/>
      <c r="H908" s="81"/>
      <c r="I908" s="93"/>
    </row>
    <row r="909" ht="14.25" customHeight="1" spans="2:9">
      <c r="B909" s="78"/>
      <c r="C909" s="79"/>
      <c r="E909" s="4"/>
      <c r="F909" s="80"/>
      <c r="G909" s="81"/>
      <c r="H909" s="81"/>
      <c r="I909" s="93"/>
    </row>
    <row r="910" ht="14.25" customHeight="1" spans="2:9">
      <c r="B910" s="78"/>
      <c r="C910" s="79"/>
      <c r="E910" s="4"/>
      <c r="F910" s="80"/>
      <c r="G910" s="81"/>
      <c r="H910" s="81"/>
      <c r="I910" s="93"/>
    </row>
    <row r="911" ht="14.25" customHeight="1" spans="2:9">
      <c r="B911" s="78"/>
      <c r="C911" s="79"/>
      <c r="E911" s="4"/>
      <c r="F911" s="80"/>
      <c r="G911" s="81"/>
      <c r="H911" s="81"/>
      <c r="I911" s="93"/>
    </row>
    <row r="912" ht="14.25" customHeight="1" spans="2:9">
      <c r="B912" s="78"/>
      <c r="C912" s="79"/>
      <c r="E912" s="4"/>
      <c r="F912" s="80"/>
      <c r="G912" s="81"/>
      <c r="H912" s="81"/>
      <c r="I912" s="93"/>
    </row>
    <row r="913" ht="14.25" customHeight="1" spans="2:9">
      <c r="B913" s="78"/>
      <c r="C913" s="79"/>
      <c r="E913" s="4"/>
      <c r="F913" s="80"/>
      <c r="G913" s="81"/>
      <c r="H913" s="81"/>
      <c r="I913" s="93"/>
    </row>
    <row r="914" ht="14.25" customHeight="1" spans="2:9">
      <c r="B914" s="78"/>
      <c r="C914" s="79"/>
      <c r="E914" s="4"/>
      <c r="F914" s="80"/>
      <c r="G914" s="81"/>
      <c r="H914" s="81"/>
      <c r="I914" s="93"/>
    </row>
    <row r="915" ht="14.25" customHeight="1" spans="2:9">
      <c r="B915" s="78"/>
      <c r="C915" s="79"/>
      <c r="E915" s="4"/>
      <c r="F915" s="80"/>
      <c r="G915" s="81"/>
      <c r="H915" s="81"/>
      <c r="I915" s="93"/>
    </row>
    <row r="916" ht="14.25" customHeight="1" spans="2:9">
      <c r="B916" s="78"/>
      <c r="C916" s="79"/>
      <c r="E916" s="4"/>
      <c r="F916" s="80"/>
      <c r="G916" s="81"/>
      <c r="H916" s="81"/>
      <c r="I916" s="93"/>
    </row>
    <row r="917" ht="14.25" customHeight="1" spans="2:9">
      <c r="B917" s="78"/>
      <c r="C917" s="79"/>
      <c r="E917" s="4"/>
      <c r="F917" s="80"/>
      <c r="G917" s="81"/>
      <c r="H917" s="81"/>
      <c r="I917" s="93"/>
    </row>
    <row r="918" ht="14.25" customHeight="1" spans="2:9">
      <c r="B918" s="78"/>
      <c r="C918" s="79"/>
      <c r="E918" s="4"/>
      <c r="F918" s="80"/>
      <c r="G918" s="81"/>
      <c r="H918" s="81"/>
      <c r="I918" s="93"/>
    </row>
    <row r="919" ht="14.25" customHeight="1" spans="2:9">
      <c r="B919" s="78"/>
      <c r="C919" s="79"/>
      <c r="E919" s="4"/>
      <c r="F919" s="80"/>
      <c r="G919" s="81"/>
      <c r="H919" s="81"/>
      <c r="I919" s="93"/>
    </row>
    <row r="920" ht="14.25" customHeight="1" spans="2:9">
      <c r="B920" s="78"/>
      <c r="C920" s="79"/>
      <c r="E920" s="4"/>
      <c r="F920" s="80"/>
      <c r="G920" s="81"/>
      <c r="H920" s="81"/>
      <c r="I920" s="93"/>
    </row>
    <row r="921" ht="14.25" customHeight="1" spans="2:9">
      <c r="B921" s="78"/>
      <c r="C921" s="79"/>
      <c r="E921" s="4"/>
      <c r="F921" s="80"/>
      <c r="G921" s="81"/>
      <c r="H921" s="81"/>
      <c r="I921" s="93"/>
    </row>
    <row r="922" ht="14.25" customHeight="1" spans="2:9">
      <c r="B922" s="78"/>
      <c r="C922" s="79"/>
      <c r="E922" s="4"/>
      <c r="F922" s="80"/>
      <c r="G922" s="81"/>
      <c r="H922" s="81"/>
      <c r="I922" s="93"/>
    </row>
    <row r="923" ht="14.25" customHeight="1" spans="2:9">
      <c r="B923" s="78"/>
      <c r="C923" s="79"/>
      <c r="E923" s="4"/>
      <c r="F923" s="80"/>
      <c r="G923" s="81"/>
      <c r="H923" s="81"/>
      <c r="I923" s="93"/>
    </row>
    <row r="924" ht="14.25" customHeight="1" spans="2:9">
      <c r="B924" s="78"/>
      <c r="C924" s="79"/>
      <c r="E924" s="4"/>
      <c r="F924" s="80"/>
      <c r="G924" s="81"/>
      <c r="H924" s="81"/>
      <c r="I924" s="93"/>
    </row>
    <row r="925" ht="14.25" customHeight="1" spans="2:9">
      <c r="B925" s="78"/>
      <c r="C925" s="79"/>
      <c r="E925" s="4"/>
      <c r="F925" s="80"/>
      <c r="G925" s="81"/>
      <c r="H925" s="81"/>
      <c r="I925" s="93"/>
    </row>
    <row r="926" ht="14.25" customHeight="1" spans="2:9">
      <c r="B926" s="78"/>
      <c r="C926" s="79"/>
      <c r="E926" s="4"/>
      <c r="F926" s="80"/>
      <c r="G926" s="81"/>
      <c r="H926" s="81"/>
      <c r="I926" s="93"/>
    </row>
    <row r="927" ht="14.25" customHeight="1" spans="2:9">
      <c r="B927" s="78"/>
      <c r="C927" s="79"/>
      <c r="E927" s="4"/>
      <c r="F927" s="80"/>
      <c r="G927" s="81"/>
      <c r="H927" s="81"/>
      <c r="I927" s="93"/>
    </row>
    <row r="928" ht="14.25" customHeight="1" spans="2:9">
      <c r="B928" s="78"/>
      <c r="C928" s="79"/>
      <c r="E928" s="4"/>
      <c r="F928" s="80"/>
      <c r="G928" s="81"/>
      <c r="H928" s="81"/>
      <c r="I928" s="93"/>
    </row>
    <row r="929" ht="14.25" customHeight="1" spans="2:9">
      <c r="B929" s="78"/>
      <c r="C929" s="79"/>
      <c r="E929" s="4"/>
      <c r="F929" s="80"/>
      <c r="G929" s="81"/>
      <c r="H929" s="81"/>
      <c r="I929" s="93"/>
    </row>
    <row r="930" ht="14.25" customHeight="1" spans="2:9">
      <c r="B930" s="78"/>
      <c r="C930" s="79"/>
      <c r="E930" s="4"/>
      <c r="F930" s="80"/>
      <c r="G930" s="81"/>
      <c r="H930" s="81"/>
      <c r="I930" s="93"/>
    </row>
    <row r="931" ht="14.25" customHeight="1" spans="2:9">
      <c r="B931" s="78"/>
      <c r="C931" s="79"/>
      <c r="E931" s="4"/>
      <c r="F931" s="80"/>
      <c r="G931" s="81"/>
      <c r="H931" s="81"/>
      <c r="I931" s="93"/>
    </row>
    <row r="932" ht="14.25" customHeight="1" spans="2:9">
      <c r="B932" s="78"/>
      <c r="C932" s="79"/>
      <c r="E932" s="4"/>
      <c r="F932" s="80"/>
      <c r="G932" s="81"/>
      <c r="H932" s="81"/>
      <c r="I932" s="93"/>
    </row>
    <row r="933" ht="14.25" customHeight="1" spans="2:9">
      <c r="B933" s="78"/>
      <c r="C933" s="79"/>
      <c r="E933" s="4"/>
      <c r="F933" s="80"/>
      <c r="G933" s="81"/>
      <c r="H933" s="81"/>
      <c r="I933" s="93"/>
    </row>
    <row r="934" ht="14.25" customHeight="1" spans="2:9">
      <c r="B934" s="78"/>
      <c r="C934" s="79"/>
      <c r="E934" s="4"/>
      <c r="F934" s="80"/>
      <c r="G934" s="81"/>
      <c r="H934" s="81"/>
      <c r="I934" s="93"/>
    </row>
    <row r="935" ht="14.25" customHeight="1" spans="2:9">
      <c r="B935" s="78"/>
      <c r="C935" s="79"/>
      <c r="E935" s="4"/>
      <c r="F935" s="80"/>
      <c r="G935" s="81"/>
      <c r="H935" s="81"/>
      <c r="I935" s="93"/>
    </row>
    <row r="936" ht="14.25" customHeight="1" spans="2:9">
      <c r="B936" s="78"/>
      <c r="C936" s="79"/>
      <c r="E936" s="4"/>
      <c r="F936" s="80"/>
      <c r="G936" s="81"/>
      <c r="H936" s="81"/>
      <c r="I936" s="93"/>
    </row>
    <row r="937" ht="14.25" customHeight="1" spans="2:9">
      <c r="B937" s="78"/>
      <c r="C937" s="79"/>
      <c r="E937" s="4"/>
      <c r="F937" s="80"/>
      <c r="G937" s="81"/>
      <c r="H937" s="81"/>
      <c r="I937" s="93"/>
    </row>
    <row r="938" ht="14.25" customHeight="1" spans="2:9">
      <c r="B938" s="78"/>
      <c r="C938" s="79"/>
      <c r="E938" s="4"/>
      <c r="F938" s="80"/>
      <c r="G938" s="81"/>
      <c r="H938" s="81"/>
      <c r="I938" s="93"/>
    </row>
    <row r="939" ht="14.25" customHeight="1" spans="2:9">
      <c r="B939" s="78"/>
      <c r="C939" s="79"/>
      <c r="E939" s="4"/>
      <c r="F939" s="80"/>
      <c r="G939" s="81"/>
      <c r="H939" s="81"/>
      <c r="I939" s="93"/>
    </row>
    <row r="940" ht="14.25" customHeight="1" spans="2:9">
      <c r="B940" s="78"/>
      <c r="C940" s="79"/>
      <c r="E940" s="4"/>
      <c r="F940" s="80"/>
      <c r="G940" s="81"/>
      <c r="H940" s="81"/>
      <c r="I940" s="93"/>
    </row>
    <row r="941" ht="14.25" customHeight="1" spans="2:9">
      <c r="B941" s="78"/>
      <c r="C941" s="79"/>
      <c r="E941" s="4"/>
      <c r="F941" s="80"/>
      <c r="G941" s="81"/>
      <c r="H941" s="81"/>
      <c r="I941" s="93"/>
    </row>
    <row r="942" ht="14.25" customHeight="1" spans="2:9">
      <c r="B942" s="78"/>
      <c r="C942" s="79"/>
      <c r="E942" s="4"/>
      <c r="F942" s="80"/>
      <c r="G942" s="81"/>
      <c r="H942" s="81"/>
      <c r="I942" s="93"/>
    </row>
    <row r="943" ht="14.25" customHeight="1" spans="2:9">
      <c r="B943" s="78"/>
      <c r="C943" s="79"/>
      <c r="E943" s="4"/>
      <c r="F943" s="80"/>
      <c r="G943" s="81"/>
      <c r="H943" s="81"/>
      <c r="I943" s="93"/>
    </row>
    <row r="944" ht="14.25" customHeight="1" spans="2:9">
      <c r="B944" s="78"/>
      <c r="C944" s="79"/>
      <c r="E944" s="4"/>
      <c r="F944" s="80"/>
      <c r="G944" s="81"/>
      <c r="H944" s="81"/>
      <c r="I944" s="93"/>
    </row>
    <row r="945" ht="14.25" customHeight="1" spans="2:9">
      <c r="B945" s="78"/>
      <c r="C945" s="79"/>
      <c r="E945" s="4"/>
      <c r="F945" s="80"/>
      <c r="G945" s="81"/>
      <c r="H945" s="81"/>
      <c r="I945" s="93"/>
    </row>
    <row r="946" ht="14.25" customHeight="1" spans="2:9">
      <c r="B946" s="78"/>
      <c r="C946" s="79"/>
      <c r="E946" s="4"/>
      <c r="F946" s="80"/>
      <c r="G946" s="81"/>
      <c r="H946" s="81"/>
      <c r="I946" s="93"/>
    </row>
    <row r="947" ht="14.25" customHeight="1" spans="2:9">
      <c r="B947" s="78"/>
      <c r="C947" s="79"/>
      <c r="E947" s="4"/>
      <c r="F947" s="80"/>
      <c r="G947" s="81"/>
      <c r="H947" s="81"/>
      <c r="I947" s="93"/>
    </row>
    <row r="948" ht="14.25" customHeight="1" spans="2:9">
      <c r="B948" s="78"/>
      <c r="C948" s="79"/>
      <c r="E948" s="4"/>
      <c r="F948" s="80"/>
      <c r="G948" s="81"/>
      <c r="H948" s="81"/>
      <c r="I948" s="93"/>
    </row>
    <row r="949" ht="14.25" customHeight="1" spans="2:9">
      <c r="B949" s="78"/>
      <c r="C949" s="79"/>
      <c r="E949" s="4"/>
      <c r="F949" s="80"/>
      <c r="G949" s="81"/>
      <c r="H949" s="81"/>
      <c r="I949" s="93"/>
    </row>
    <row r="950" ht="14.25" customHeight="1" spans="2:9">
      <c r="B950" s="78"/>
      <c r="C950" s="79"/>
      <c r="E950" s="4"/>
      <c r="F950" s="80"/>
      <c r="G950" s="81"/>
      <c r="H950" s="81"/>
      <c r="I950" s="93"/>
    </row>
    <row r="951" ht="14.25" customHeight="1" spans="2:9">
      <c r="B951" s="78"/>
      <c r="C951" s="79"/>
      <c r="E951" s="4"/>
      <c r="F951" s="80"/>
      <c r="G951" s="81"/>
      <c r="H951" s="81"/>
      <c r="I951" s="93"/>
    </row>
    <row r="952" ht="14.25" customHeight="1" spans="2:9">
      <c r="B952" s="78"/>
      <c r="C952" s="79"/>
      <c r="E952" s="4"/>
      <c r="F952" s="80"/>
      <c r="G952" s="81"/>
      <c r="H952" s="81"/>
      <c r="I952" s="93"/>
    </row>
    <row r="953" ht="14.25" customHeight="1" spans="2:9">
      <c r="B953" s="78"/>
      <c r="C953" s="79"/>
      <c r="E953" s="4"/>
      <c r="F953" s="80"/>
      <c r="G953" s="81"/>
      <c r="H953" s="81"/>
      <c r="I953" s="93"/>
    </row>
    <row r="954" ht="14.25" customHeight="1" spans="2:9">
      <c r="B954" s="78"/>
      <c r="C954" s="79"/>
      <c r="E954" s="4"/>
      <c r="F954" s="80"/>
      <c r="G954" s="81"/>
      <c r="H954" s="81"/>
      <c r="I954" s="93"/>
    </row>
    <row r="955" ht="14.25" customHeight="1" spans="2:9">
      <c r="B955" s="78"/>
      <c r="C955" s="79"/>
      <c r="E955" s="4"/>
      <c r="F955" s="80"/>
      <c r="G955" s="81"/>
      <c r="H955" s="81"/>
      <c r="I955" s="93"/>
    </row>
    <row r="956" ht="14.25" customHeight="1" spans="2:9">
      <c r="B956" s="78"/>
      <c r="C956" s="79"/>
      <c r="E956" s="4"/>
      <c r="F956" s="80"/>
      <c r="G956" s="81"/>
      <c r="H956" s="81"/>
      <c r="I956" s="93"/>
    </row>
    <row r="957" ht="14.25" customHeight="1" spans="2:9">
      <c r="B957" s="78"/>
      <c r="C957" s="79"/>
      <c r="E957" s="4"/>
      <c r="F957" s="80"/>
      <c r="G957" s="81"/>
      <c r="H957" s="81"/>
      <c r="I957" s="93"/>
    </row>
    <row r="958" ht="14.25" customHeight="1" spans="2:9">
      <c r="B958" s="78"/>
      <c r="C958" s="79"/>
      <c r="E958" s="4"/>
      <c r="F958" s="80"/>
      <c r="G958" s="81"/>
      <c r="H958" s="81"/>
      <c r="I958" s="93"/>
    </row>
    <row r="959" ht="14.25" customHeight="1" spans="2:9">
      <c r="B959" s="78"/>
      <c r="C959" s="79"/>
      <c r="E959" s="4"/>
      <c r="F959" s="80"/>
      <c r="G959" s="81"/>
      <c r="H959" s="81"/>
      <c r="I959" s="93"/>
    </row>
    <row r="960" ht="14.25" customHeight="1" spans="2:9">
      <c r="B960" s="78"/>
      <c r="C960" s="79"/>
      <c r="E960" s="4"/>
      <c r="F960" s="80"/>
      <c r="G960" s="81"/>
      <c r="H960" s="81"/>
      <c r="I960" s="93"/>
    </row>
    <row r="961" ht="14.25" customHeight="1" spans="2:9">
      <c r="B961" s="78"/>
      <c r="C961" s="79"/>
      <c r="E961" s="4"/>
      <c r="F961" s="80"/>
      <c r="G961" s="81"/>
      <c r="H961" s="81"/>
      <c r="I961" s="93"/>
    </row>
    <row r="962" ht="14.25" customHeight="1" spans="2:9">
      <c r="B962" s="78"/>
      <c r="C962" s="79"/>
      <c r="E962" s="4"/>
      <c r="F962" s="80"/>
      <c r="G962" s="81"/>
      <c r="H962" s="81"/>
      <c r="I962" s="93"/>
    </row>
    <row r="963" ht="14.25" customHeight="1" spans="2:9">
      <c r="B963" s="78"/>
      <c r="C963" s="79"/>
      <c r="E963" s="4"/>
      <c r="F963" s="80"/>
      <c r="G963" s="81"/>
      <c r="H963" s="81"/>
      <c r="I963" s="93"/>
    </row>
    <row r="964" ht="14.25" customHeight="1" spans="2:9">
      <c r="B964" s="78"/>
      <c r="C964" s="79"/>
      <c r="E964" s="4"/>
      <c r="F964" s="80"/>
      <c r="G964" s="81"/>
      <c r="H964" s="81"/>
      <c r="I964" s="93"/>
    </row>
    <row r="965" ht="14.25" customHeight="1" spans="2:9">
      <c r="B965" s="78"/>
      <c r="C965" s="79"/>
      <c r="E965" s="4"/>
      <c r="F965" s="80"/>
      <c r="G965" s="81"/>
      <c r="H965" s="81"/>
      <c r="I965" s="93"/>
    </row>
    <row r="966" ht="14.25" customHeight="1" spans="2:9">
      <c r="B966" s="78"/>
      <c r="C966" s="79"/>
      <c r="E966" s="4"/>
      <c r="F966" s="80"/>
      <c r="G966" s="81"/>
      <c r="H966" s="81"/>
      <c r="I966" s="93"/>
    </row>
    <row r="967" ht="14.25" customHeight="1" spans="2:9">
      <c r="B967" s="78"/>
      <c r="C967" s="79"/>
      <c r="E967" s="4"/>
      <c r="F967" s="80"/>
      <c r="G967" s="81"/>
      <c r="H967" s="81"/>
      <c r="I967" s="93"/>
    </row>
    <row r="968" ht="14.25" customHeight="1" spans="2:9">
      <c r="B968" s="78"/>
      <c r="C968" s="79"/>
      <c r="E968" s="4"/>
      <c r="F968" s="80"/>
      <c r="G968" s="81"/>
      <c r="H968" s="81"/>
      <c r="I968" s="93"/>
    </row>
    <row r="969" ht="14.25" customHeight="1" spans="2:9">
      <c r="B969" s="78"/>
      <c r="C969" s="79"/>
      <c r="E969" s="4"/>
      <c r="F969" s="80"/>
      <c r="G969" s="81"/>
      <c r="H969" s="81"/>
      <c r="I969" s="93"/>
    </row>
    <row r="970" ht="14.25" customHeight="1" spans="2:9">
      <c r="B970" s="78"/>
      <c r="C970" s="79"/>
      <c r="E970" s="4"/>
      <c r="F970" s="80"/>
      <c r="G970" s="81"/>
      <c r="H970" s="81"/>
      <c r="I970" s="93"/>
    </row>
    <row r="971" ht="14.25" customHeight="1" spans="2:9">
      <c r="B971" s="78"/>
      <c r="C971" s="79"/>
      <c r="E971" s="4"/>
      <c r="F971" s="80"/>
      <c r="G971" s="81"/>
      <c r="H971" s="81"/>
      <c r="I971" s="93"/>
    </row>
    <row r="972" ht="14.25" customHeight="1" spans="2:9">
      <c r="B972" s="78"/>
      <c r="C972" s="79"/>
      <c r="E972" s="4"/>
      <c r="F972" s="80"/>
      <c r="G972" s="81"/>
      <c r="H972" s="81"/>
      <c r="I972" s="93"/>
    </row>
    <row r="973" ht="14.25" customHeight="1" spans="2:9">
      <c r="B973" s="78"/>
      <c r="C973" s="79"/>
      <c r="E973" s="4"/>
      <c r="F973" s="80"/>
      <c r="G973" s="81"/>
      <c r="H973" s="81"/>
      <c r="I973" s="93"/>
    </row>
    <row r="974" ht="14.25" customHeight="1" spans="2:9">
      <c r="B974" s="78"/>
      <c r="C974" s="79"/>
      <c r="E974" s="4"/>
      <c r="F974" s="80"/>
      <c r="G974" s="81"/>
      <c r="H974" s="81"/>
      <c r="I974" s="93"/>
    </row>
    <row r="975" ht="14.25" customHeight="1" spans="2:9">
      <c r="B975" s="78"/>
      <c r="C975" s="79"/>
      <c r="E975" s="4"/>
      <c r="F975" s="80"/>
      <c r="G975" s="81"/>
      <c r="H975" s="81"/>
      <c r="I975" s="93"/>
    </row>
    <row r="976" ht="14.25" customHeight="1" spans="2:9">
      <c r="B976" s="78"/>
      <c r="C976" s="79"/>
      <c r="E976" s="4"/>
      <c r="F976" s="80"/>
      <c r="G976" s="81"/>
      <c r="H976" s="81"/>
      <c r="I976" s="93"/>
    </row>
    <row r="977" ht="14.25" customHeight="1" spans="2:9">
      <c r="B977" s="78"/>
      <c r="C977" s="79"/>
      <c r="E977" s="4"/>
      <c r="F977" s="80"/>
      <c r="G977" s="81"/>
      <c r="H977" s="81"/>
      <c r="I977" s="93"/>
    </row>
    <row r="978" ht="14.25" customHeight="1" spans="2:9">
      <c r="B978" s="78"/>
      <c r="C978" s="79"/>
      <c r="E978" s="4"/>
      <c r="F978" s="80"/>
      <c r="G978" s="81"/>
      <c r="H978" s="81"/>
      <c r="I978" s="93"/>
    </row>
    <row r="979" ht="14.25" customHeight="1" spans="2:9">
      <c r="B979" s="78"/>
      <c r="C979" s="79"/>
      <c r="E979" s="4"/>
      <c r="F979" s="80"/>
      <c r="G979" s="81"/>
      <c r="H979" s="81"/>
      <c r="I979" s="93"/>
    </row>
    <row r="980" ht="14.25" customHeight="1" spans="2:9">
      <c r="B980" s="78"/>
      <c r="C980" s="79"/>
      <c r="E980" s="4"/>
      <c r="F980" s="80"/>
      <c r="G980" s="81"/>
      <c r="H980" s="81"/>
      <c r="I980" s="93"/>
    </row>
    <row r="981" ht="14.25" customHeight="1" spans="2:9">
      <c r="B981" s="78"/>
      <c r="C981" s="79"/>
      <c r="E981" s="4"/>
      <c r="F981" s="80"/>
      <c r="G981" s="81"/>
      <c r="H981" s="81"/>
      <c r="I981" s="93"/>
    </row>
    <row r="982" ht="14.25" customHeight="1" spans="2:9">
      <c r="B982" s="78"/>
      <c r="C982" s="79"/>
      <c r="E982" s="4"/>
      <c r="F982" s="80"/>
      <c r="G982" s="81"/>
      <c r="H982" s="81"/>
      <c r="I982" s="93"/>
    </row>
    <row r="983" ht="14.25" customHeight="1" spans="2:9">
      <c r="B983" s="78"/>
      <c r="C983" s="79"/>
      <c r="E983" s="4"/>
      <c r="F983" s="80"/>
      <c r="G983" s="81"/>
      <c r="H983" s="81"/>
      <c r="I983" s="93"/>
    </row>
    <row r="984" ht="14.25" customHeight="1" spans="2:9">
      <c r="B984" s="78"/>
      <c r="C984" s="79"/>
      <c r="E984" s="4"/>
      <c r="F984" s="80"/>
      <c r="G984" s="81"/>
      <c r="H984" s="81"/>
      <c r="I984" s="93"/>
    </row>
    <row r="985" ht="14.25" customHeight="1" spans="2:9">
      <c r="B985" s="78"/>
      <c r="C985" s="79"/>
      <c r="E985" s="4"/>
      <c r="F985" s="80"/>
      <c r="G985" s="81"/>
      <c r="H985" s="81"/>
      <c r="I985" s="93"/>
    </row>
    <row r="986" ht="14.25" customHeight="1" spans="2:9">
      <c r="B986" s="78"/>
      <c r="C986" s="79"/>
      <c r="E986" s="4"/>
      <c r="F986" s="80"/>
      <c r="G986" s="81"/>
      <c r="H986" s="81"/>
      <c r="I986" s="93"/>
    </row>
    <row r="987" ht="14.25" customHeight="1" spans="2:9">
      <c r="B987" s="78"/>
      <c r="C987" s="79"/>
      <c r="E987" s="4"/>
      <c r="F987" s="80"/>
      <c r="G987" s="81"/>
      <c r="H987" s="81"/>
      <c r="I987" s="93"/>
    </row>
    <row r="988" ht="14.25" customHeight="1" spans="2:9">
      <c r="B988" s="78"/>
      <c r="C988" s="79"/>
      <c r="E988" s="4"/>
      <c r="F988" s="80"/>
      <c r="G988" s="81"/>
      <c r="H988" s="81"/>
      <c r="I988" s="93"/>
    </row>
    <row r="989" ht="14.25" customHeight="1" spans="2:9">
      <c r="B989" s="78"/>
      <c r="C989" s="79"/>
      <c r="E989" s="4"/>
      <c r="F989" s="80"/>
      <c r="G989" s="81"/>
      <c r="H989" s="81"/>
      <c r="I989" s="93"/>
    </row>
    <row r="990" ht="14.25" customHeight="1" spans="2:9">
      <c r="B990" s="78"/>
      <c r="C990" s="79"/>
      <c r="E990" s="4"/>
      <c r="F990" s="80"/>
      <c r="G990" s="81"/>
      <c r="H990" s="81"/>
      <c r="I990" s="93"/>
    </row>
    <row r="991" ht="14.25" customHeight="1" spans="2:9">
      <c r="B991" s="78"/>
      <c r="C991" s="79"/>
      <c r="E991" s="4"/>
      <c r="F991" s="80"/>
      <c r="G991" s="81"/>
      <c r="H991" s="81"/>
      <c r="I991" s="93"/>
    </row>
    <row r="992" ht="14.25" customHeight="1" spans="2:9">
      <c r="B992" s="78"/>
      <c r="C992" s="79"/>
      <c r="E992" s="4"/>
      <c r="F992" s="80"/>
      <c r="G992" s="81"/>
      <c r="H992" s="81"/>
      <c r="I992" s="93"/>
    </row>
    <row r="993" ht="14.25" customHeight="1" spans="2:9">
      <c r="B993" s="78"/>
      <c r="C993" s="79"/>
      <c r="E993" s="4"/>
      <c r="F993" s="80"/>
      <c r="G993" s="81"/>
      <c r="H993" s="81"/>
      <c r="I993" s="93"/>
    </row>
    <row r="994" ht="14.25" customHeight="1" spans="2:9">
      <c r="B994" s="78"/>
      <c r="C994" s="79"/>
      <c r="E994" s="4"/>
      <c r="F994" s="80"/>
      <c r="G994" s="81"/>
      <c r="H994" s="81"/>
      <c r="I994" s="93"/>
    </row>
    <row r="995" ht="14.25" customHeight="1" spans="2:9">
      <c r="B995" s="78"/>
      <c r="C995" s="79"/>
      <c r="E995" s="4"/>
      <c r="F995" s="80"/>
      <c r="G995" s="81"/>
      <c r="H995" s="81"/>
      <c r="I995" s="93"/>
    </row>
    <row r="996" ht="14.25" customHeight="1" spans="2:9">
      <c r="B996" s="78"/>
      <c r="C996" s="79"/>
      <c r="E996" s="4"/>
      <c r="F996" s="80"/>
      <c r="G996" s="81"/>
      <c r="H996" s="81"/>
      <c r="I996" s="93"/>
    </row>
    <row r="997" ht="14.25" customHeight="1" spans="2:9">
      <c r="B997" s="78"/>
      <c r="C997" s="79"/>
      <c r="E997" s="4"/>
      <c r="F997" s="80"/>
      <c r="G997" s="81"/>
      <c r="H997" s="81"/>
      <c r="I997" s="93"/>
    </row>
    <row r="998" ht="14.25" customHeight="1" spans="2:9">
      <c r="B998" s="78"/>
      <c r="C998" s="79"/>
      <c r="E998" s="4"/>
      <c r="F998" s="80"/>
      <c r="G998" s="81"/>
      <c r="H998" s="81"/>
      <c r="I998" s="93"/>
    </row>
  </sheetData>
  <autoFilter xmlns:etc="http://www.wps.cn/officeDocument/2017/etCustomData" ref="A8:I28" etc:filterBottomFollowUsedRange="0">
    <extLst/>
  </autoFilter>
  <mergeCells count="3">
    <mergeCell ref="B1:E1"/>
    <mergeCell ref="B2:E2"/>
    <mergeCell ref="B3:E3"/>
  </mergeCells>
  <dataValidations count="2">
    <dataValidation type="list" allowBlank="1" showErrorMessage="1" sqref="F10:F14 F16:F28">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0"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106</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6</v>
      </c>
      <c r="B5" s="55">
        <f>COUNTIF(F:F,"Fail")</f>
        <v>9</v>
      </c>
      <c r="C5" s="55">
        <f>COUNTIF(F:F,"Untested")</f>
        <v>0</v>
      </c>
      <c r="D5" s="56">
        <f>COUNTIF(F:F,"N/A")</f>
        <v>1</v>
      </c>
      <c r="E5" s="55">
        <f>SUM(A5:D5)</f>
        <v>16</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52</v>
      </c>
      <c r="C9" s="69"/>
      <c r="D9" s="68"/>
      <c r="E9" s="69"/>
      <c r="F9" s="70"/>
      <c r="G9" s="70"/>
      <c r="H9" s="70"/>
      <c r="I9" s="87"/>
      <c r="J9" s="88"/>
      <c r="K9" s="83"/>
      <c r="L9" s="83"/>
      <c r="M9" s="83"/>
      <c r="N9" s="83"/>
      <c r="O9" s="83"/>
      <c r="P9" s="83"/>
      <c r="Q9" s="83"/>
      <c r="R9" s="83"/>
      <c r="S9" s="83"/>
      <c r="T9" s="83"/>
      <c r="U9" s="83"/>
      <c r="V9" s="83"/>
      <c r="W9" s="83"/>
      <c r="X9" s="83"/>
      <c r="Y9" s="83"/>
      <c r="Z9" s="83"/>
    </row>
    <row r="10" ht="105.6" spans="1:26">
      <c r="A10" s="71" t="str">
        <f>IF(AND(E10=""),"","["&amp;TEXT($B$1,"##")&amp;"-"&amp;TEXT(ROW()-9-COUNTBLANK($E$8:E9)+1,"##")&amp;"]")</f>
        <v>[UC02-1]</v>
      </c>
      <c r="B10" s="72" t="s">
        <v>107</v>
      </c>
      <c r="C10" s="72" t="s">
        <v>54</v>
      </c>
      <c r="D10" s="73" t="s">
        <v>108</v>
      </c>
      <c r="E10" s="72" t="s">
        <v>109</v>
      </c>
      <c r="F10" s="74" t="s">
        <v>20</v>
      </c>
      <c r="G10" s="71" t="s">
        <v>77</v>
      </c>
      <c r="H10" s="74" t="str">
        <f>B3</f>
        <v>Việt</v>
      </c>
      <c r="I10" s="89"/>
      <c r="J10" s="90"/>
      <c r="K10" s="90"/>
      <c r="L10" s="90"/>
      <c r="M10" s="90"/>
      <c r="N10" s="90"/>
      <c r="O10" s="90"/>
      <c r="P10" s="90"/>
      <c r="Q10" s="90"/>
      <c r="R10" s="90"/>
      <c r="S10" s="90"/>
      <c r="T10" s="90"/>
      <c r="U10" s="90"/>
      <c r="V10" s="90"/>
      <c r="W10" s="90"/>
      <c r="X10" s="90"/>
      <c r="Y10" s="90"/>
      <c r="Z10" s="90"/>
    </row>
    <row r="11" ht="26.4" spans="1:26">
      <c r="A11" s="71" t="str">
        <f>IF(AND(E11=""),"","["&amp;TEXT($B$1,"##")&amp;"-"&amp;TEXT(ROW()-9-COUNTBLANK($E$8:E10)+1,"##")&amp;"]")</f>
        <v>[UC02-2]</v>
      </c>
      <c r="B11" s="72" t="s">
        <v>58</v>
      </c>
      <c r="C11" s="72" t="s">
        <v>54</v>
      </c>
      <c r="D11" s="73" t="s">
        <v>108</v>
      </c>
      <c r="E11" s="72" t="s">
        <v>59</v>
      </c>
      <c r="F11" s="74" t="s">
        <v>20</v>
      </c>
      <c r="G11" s="71" t="s">
        <v>77</v>
      </c>
      <c r="H11" s="74" t="str">
        <f>B3</f>
        <v>Việt</v>
      </c>
      <c r="I11" s="89"/>
      <c r="J11" s="90"/>
      <c r="K11" s="90"/>
      <c r="L11" s="90"/>
      <c r="M11" s="90"/>
      <c r="N11" s="90"/>
      <c r="O11" s="90"/>
      <c r="P11" s="90"/>
      <c r="Q11" s="90"/>
      <c r="R11" s="90"/>
      <c r="S11" s="90"/>
      <c r="T11" s="90"/>
      <c r="U11" s="90"/>
      <c r="V11" s="90"/>
      <c r="W11" s="90"/>
      <c r="X11" s="90"/>
      <c r="Y11" s="90"/>
      <c r="Z11" s="90"/>
    </row>
    <row r="12" ht="26.4" spans="1:26">
      <c r="A12" s="71" t="str">
        <f>IF(AND(E12=""),"","["&amp;TEXT($B$1,"##")&amp;"-"&amp;TEXT(ROW()-9-COUNTBLANK($E$8:E11)+1,"##")&amp;"]")</f>
        <v>[UC02-3]</v>
      </c>
      <c r="B12" s="72" t="s">
        <v>60</v>
      </c>
      <c r="C12" s="72" t="s">
        <v>54</v>
      </c>
      <c r="D12" s="73" t="s">
        <v>108</v>
      </c>
      <c r="E12" s="167" t="s">
        <v>61</v>
      </c>
      <c r="F12" s="74" t="s">
        <v>20</v>
      </c>
      <c r="G12" s="71" t="s">
        <v>77</v>
      </c>
      <c r="H12" s="74" t="str">
        <f>B3</f>
        <v>Việt</v>
      </c>
      <c r="I12" s="89"/>
      <c r="J12" s="90"/>
      <c r="K12" s="90"/>
      <c r="L12" s="90"/>
      <c r="M12" s="90"/>
      <c r="N12" s="90"/>
      <c r="O12" s="90"/>
      <c r="P12" s="90"/>
      <c r="Q12" s="90"/>
      <c r="R12" s="90"/>
      <c r="S12" s="90"/>
      <c r="T12" s="90"/>
      <c r="U12" s="90"/>
      <c r="V12" s="90"/>
      <c r="W12" s="90"/>
      <c r="X12" s="90"/>
      <c r="Y12" s="90"/>
      <c r="Z12" s="90"/>
    </row>
    <row r="13" ht="26.4" spans="1:26">
      <c r="A13" s="71" t="str">
        <f>IF(AND(E13=""),"","["&amp;TEXT($B$1,"##")&amp;"-"&amp;TEXT(ROW()-9-COUNTBLANK($E$8:E12)+1,"##")&amp;"]")</f>
        <v>[UC02-4]</v>
      </c>
      <c r="B13" s="72" t="s">
        <v>64</v>
      </c>
      <c r="C13" s="72" t="s">
        <v>54</v>
      </c>
      <c r="D13" s="73" t="s">
        <v>108</v>
      </c>
      <c r="E13" s="72" t="s">
        <v>65</v>
      </c>
      <c r="F13" s="74" t="s">
        <v>20</v>
      </c>
      <c r="G13" s="71" t="s">
        <v>77</v>
      </c>
      <c r="H13" s="74" t="str">
        <f>B3</f>
        <v>Việt</v>
      </c>
      <c r="I13" s="89"/>
      <c r="J13" s="90"/>
      <c r="K13" s="90"/>
      <c r="L13" s="90"/>
      <c r="M13" s="90"/>
      <c r="N13" s="90"/>
      <c r="O13" s="90"/>
      <c r="P13" s="90"/>
      <c r="Q13" s="90"/>
      <c r="R13" s="90"/>
      <c r="S13" s="90"/>
      <c r="T13" s="90"/>
      <c r="U13" s="90"/>
      <c r="V13" s="90"/>
      <c r="W13" s="90"/>
      <c r="X13" s="90"/>
      <c r="Y13" s="90"/>
      <c r="Z13" s="90"/>
    </row>
    <row r="14" ht="14.25" customHeight="1" spans="1:26">
      <c r="A14" s="68"/>
      <c r="B14" s="68" t="s">
        <v>66</v>
      </c>
      <c r="C14" s="69"/>
      <c r="D14" s="68"/>
      <c r="E14" s="69"/>
      <c r="F14" s="70"/>
      <c r="G14" s="70"/>
      <c r="H14" s="70"/>
      <c r="I14" s="87"/>
      <c r="J14" s="88"/>
      <c r="K14" s="83"/>
      <c r="L14" s="83"/>
      <c r="M14" s="83"/>
      <c r="N14" s="83"/>
      <c r="O14" s="83"/>
      <c r="P14" s="83"/>
      <c r="Q14" s="83"/>
      <c r="R14" s="83"/>
      <c r="S14" s="83"/>
      <c r="T14" s="83"/>
      <c r="U14" s="83"/>
      <c r="V14" s="83"/>
      <c r="W14" s="83"/>
      <c r="X14" s="83"/>
      <c r="Y14" s="83"/>
      <c r="Z14" s="83"/>
    </row>
    <row r="15" ht="79.2" spans="1:26">
      <c r="A15" s="71" t="str">
        <f>IF(AND(E15=""),"","["&amp;TEXT($B$1,"##")&amp;"-"&amp;TEXT(ROW()-9-COUNTBLANK($E$8:E14)+1,"##")&amp;"]")</f>
        <v>[UC02-5]</v>
      </c>
      <c r="B15" s="72" t="s">
        <v>67</v>
      </c>
      <c r="C15" s="72" t="s">
        <v>54</v>
      </c>
      <c r="D15" s="73" t="s">
        <v>110</v>
      </c>
      <c r="E15" s="167" t="s">
        <v>69</v>
      </c>
      <c r="F15" s="74" t="s">
        <v>20</v>
      </c>
      <c r="G15" s="71" t="s">
        <v>77</v>
      </c>
      <c r="H15" s="74" t="str">
        <f>B3</f>
        <v>Việt</v>
      </c>
      <c r="I15" s="89"/>
      <c r="J15" s="90"/>
      <c r="K15" s="90"/>
      <c r="L15" s="90"/>
      <c r="M15" s="90"/>
      <c r="N15" s="90"/>
      <c r="O15" s="90"/>
      <c r="P15" s="90"/>
      <c r="Q15" s="90"/>
      <c r="R15" s="90"/>
      <c r="S15" s="90"/>
      <c r="T15" s="90"/>
      <c r="U15" s="90"/>
      <c r="V15" s="90"/>
      <c r="W15" s="90"/>
      <c r="X15" s="90"/>
      <c r="Y15" s="90"/>
      <c r="Z15" s="90"/>
    </row>
    <row r="16" ht="52.8" spans="1:26">
      <c r="A16" s="71" t="str">
        <f>IF(AND(E16=""),"","["&amp;TEXT($B$1,"##")&amp;"-"&amp;TEXT(ROW()-9-COUNTBLANK($E$8:E15)+1,"##")&amp;"]")</f>
        <v>[UC02-6]</v>
      </c>
      <c r="B16" s="72" t="s">
        <v>74</v>
      </c>
      <c r="C16" s="72" t="s">
        <v>54</v>
      </c>
      <c r="D16" s="73" t="s">
        <v>111</v>
      </c>
      <c r="E16" s="72" t="s">
        <v>76</v>
      </c>
      <c r="F16" s="74" t="s">
        <v>21</v>
      </c>
      <c r="G16" s="71" t="s">
        <v>77</v>
      </c>
      <c r="H16" s="74" t="str">
        <f>B3</f>
        <v>Việt</v>
      </c>
      <c r="I16" s="89" t="s">
        <v>112</v>
      </c>
      <c r="J16" s="90"/>
      <c r="K16" s="90"/>
      <c r="L16" s="90"/>
      <c r="M16" s="90"/>
      <c r="N16" s="90"/>
      <c r="O16" s="90"/>
      <c r="P16" s="90"/>
      <c r="Q16" s="90"/>
      <c r="R16" s="90"/>
      <c r="S16" s="90"/>
      <c r="T16" s="90"/>
      <c r="U16" s="90"/>
      <c r="V16" s="90"/>
      <c r="W16" s="90"/>
      <c r="X16" s="90"/>
      <c r="Y16" s="90"/>
      <c r="Z16" s="90"/>
    </row>
    <row r="17" ht="52.8" spans="1:26">
      <c r="A17" s="71" t="str">
        <f>IF(AND(E17=""),"","["&amp;TEXT($B$1,"##")&amp;"-"&amp;TEXT(ROW()-9-COUNTBLANK($E$8:E16)+1,"##")&amp;"]")</f>
        <v>[UC02-7]</v>
      </c>
      <c r="B17" s="72" t="s">
        <v>79</v>
      </c>
      <c r="C17" s="72" t="s">
        <v>54</v>
      </c>
      <c r="D17" s="73" t="s">
        <v>113</v>
      </c>
      <c r="E17" s="72" t="s">
        <v>81</v>
      </c>
      <c r="F17" s="74" t="s">
        <v>21</v>
      </c>
      <c r="G17" s="71" t="s">
        <v>77</v>
      </c>
      <c r="H17" s="74" t="str">
        <f>B3</f>
        <v>Việt</v>
      </c>
      <c r="I17" s="89" t="s">
        <v>114</v>
      </c>
      <c r="J17" s="90"/>
      <c r="K17" s="90"/>
      <c r="L17" s="90"/>
      <c r="M17" s="90"/>
      <c r="N17" s="90"/>
      <c r="O17" s="90"/>
      <c r="P17" s="90"/>
      <c r="Q17" s="90"/>
      <c r="R17" s="90"/>
      <c r="S17" s="90"/>
      <c r="T17" s="90"/>
      <c r="U17" s="90"/>
      <c r="V17" s="90"/>
      <c r="W17" s="90"/>
      <c r="X17" s="90"/>
      <c r="Y17" s="90"/>
      <c r="Z17" s="90"/>
    </row>
    <row r="18" ht="118.8" spans="1:26">
      <c r="A18" s="71" t="str">
        <f>IF(AND(E18=""),"","["&amp;TEXT($B$1,"##")&amp;"-"&amp;TEXT(ROW()-9-COUNTBLANK($E$8:E17)+1,"##")&amp;"]")</f>
        <v>[UC02-8]</v>
      </c>
      <c r="B18" s="72" t="s">
        <v>82</v>
      </c>
      <c r="C18" s="72" t="s">
        <v>54</v>
      </c>
      <c r="D18" s="73" t="s">
        <v>115</v>
      </c>
      <c r="E18" s="72" t="s">
        <v>84</v>
      </c>
      <c r="F18" s="74" t="s">
        <v>21</v>
      </c>
      <c r="G18" s="71" t="s">
        <v>77</v>
      </c>
      <c r="H18" s="74" t="str">
        <f>B3</f>
        <v>Việt</v>
      </c>
      <c r="I18" s="89" t="s">
        <v>116</v>
      </c>
      <c r="J18" s="90"/>
      <c r="K18" s="90"/>
      <c r="L18" s="90"/>
      <c r="M18" s="90"/>
      <c r="N18" s="90"/>
      <c r="O18" s="90"/>
      <c r="P18" s="90"/>
      <c r="Q18" s="90"/>
      <c r="R18" s="90"/>
      <c r="S18" s="90"/>
      <c r="T18" s="90"/>
      <c r="U18" s="90"/>
      <c r="V18" s="90"/>
      <c r="W18" s="90"/>
      <c r="X18" s="90"/>
      <c r="Y18" s="90"/>
      <c r="Z18" s="90"/>
    </row>
    <row r="19" ht="66" spans="1:26">
      <c r="A19" s="71" t="str">
        <f>IF(AND(E19=""),"","["&amp;TEXT($B$1,"##")&amp;"-"&amp;TEXT(ROW()-9-COUNTBLANK($E$8:E18)+1,"##")&amp;"]")</f>
        <v>[UC02-9]</v>
      </c>
      <c r="B19" s="72" t="s">
        <v>85</v>
      </c>
      <c r="C19" s="72" t="s">
        <v>54</v>
      </c>
      <c r="D19" s="73" t="s">
        <v>117</v>
      </c>
      <c r="E19" s="72" t="s">
        <v>81</v>
      </c>
      <c r="F19" s="77" t="s">
        <v>23</v>
      </c>
      <c r="G19" s="71" t="s">
        <v>77</v>
      </c>
      <c r="H19" s="74" t="str">
        <f>B3</f>
        <v>Việt</v>
      </c>
      <c r="I19" s="91" t="s">
        <v>118</v>
      </c>
      <c r="J19" s="90"/>
      <c r="K19" s="90"/>
      <c r="L19" s="90"/>
      <c r="M19" s="90"/>
      <c r="N19" s="90"/>
      <c r="O19" s="90"/>
      <c r="P19" s="90"/>
      <c r="Q19" s="90"/>
      <c r="R19" s="90"/>
      <c r="S19" s="90"/>
      <c r="T19" s="90"/>
      <c r="U19" s="90"/>
      <c r="V19" s="90"/>
      <c r="W19" s="90"/>
      <c r="X19" s="90"/>
      <c r="Y19" s="90"/>
      <c r="Z19" s="90"/>
    </row>
    <row r="20" ht="105.6" spans="1:26">
      <c r="A20" s="71" t="str">
        <f>IF(AND(E20=""),"","["&amp;TEXT($B$1,"##")&amp;"-"&amp;TEXT(ROW()-9-COUNTBLANK($E$8:E19)+1,"##")&amp;"]")</f>
        <v>[UC02-10]</v>
      </c>
      <c r="B20" s="72" t="s">
        <v>87</v>
      </c>
      <c r="C20" s="72" t="s">
        <v>54</v>
      </c>
      <c r="D20" s="73" t="s">
        <v>119</v>
      </c>
      <c r="E20" s="72" t="s">
        <v>84</v>
      </c>
      <c r="F20" s="74" t="s">
        <v>21</v>
      </c>
      <c r="G20" s="71" t="s">
        <v>77</v>
      </c>
      <c r="H20" s="74" t="str">
        <f>B3</f>
        <v>Việt</v>
      </c>
      <c r="I20" s="89" t="s">
        <v>120</v>
      </c>
      <c r="J20" s="90"/>
      <c r="K20" s="90"/>
      <c r="L20" s="90"/>
      <c r="M20" s="90"/>
      <c r="N20" s="90"/>
      <c r="O20" s="90"/>
      <c r="P20" s="90"/>
      <c r="Q20" s="90"/>
      <c r="R20" s="90"/>
      <c r="S20" s="90"/>
      <c r="T20" s="90"/>
      <c r="U20" s="90"/>
      <c r="V20" s="90"/>
      <c r="W20" s="90"/>
      <c r="X20" s="90"/>
      <c r="Y20" s="90"/>
      <c r="Z20" s="90"/>
    </row>
    <row r="21" ht="15.75" customHeight="1" spans="1:26">
      <c r="A21" s="71" t="str">
        <f>IF(AND(E21=""),"","["&amp;TEXT($B$1,"##")&amp;"-"&amp;TEXT(ROW()-9-COUNTBLANK($E$8:E20)+1,"##")&amp;"]")</f>
        <v>[UC02-11]</v>
      </c>
      <c r="B21" s="72" t="s">
        <v>90</v>
      </c>
      <c r="C21" s="72" t="s">
        <v>54</v>
      </c>
      <c r="D21" s="73" t="s">
        <v>121</v>
      </c>
      <c r="E21" s="72" t="s">
        <v>96</v>
      </c>
      <c r="F21" s="77" t="s">
        <v>21</v>
      </c>
      <c r="G21" s="71" t="s">
        <v>77</v>
      </c>
      <c r="H21" s="74" t="str">
        <f>B3</f>
        <v>Việt</v>
      </c>
      <c r="I21" s="91" t="s">
        <v>122</v>
      </c>
      <c r="J21" s="90"/>
      <c r="K21" s="90"/>
      <c r="L21" s="90"/>
      <c r="M21" s="90"/>
      <c r="N21" s="90"/>
      <c r="O21" s="90"/>
      <c r="P21" s="90"/>
      <c r="Q21" s="90"/>
      <c r="R21" s="90"/>
      <c r="S21" s="90"/>
      <c r="T21" s="90"/>
      <c r="U21" s="90"/>
      <c r="V21" s="90"/>
      <c r="W21" s="90"/>
      <c r="X21" s="90"/>
      <c r="Y21" s="90"/>
      <c r="Z21" s="90"/>
    </row>
    <row r="22" ht="15.75" customHeight="1" spans="1:26">
      <c r="A22" s="71" t="str">
        <f>IF(AND(E22=""),"","["&amp;TEXT($B$1,"##")&amp;"-"&amp;TEXT(ROW()-9-COUNTBLANK($E$8:E21)+1,"##")&amp;"]")</f>
        <v>[UC02-12]</v>
      </c>
      <c r="B22" s="72" t="s">
        <v>94</v>
      </c>
      <c r="C22" s="72" t="s">
        <v>54</v>
      </c>
      <c r="D22" s="73" t="s">
        <v>123</v>
      </c>
      <c r="E22" s="72" t="s">
        <v>96</v>
      </c>
      <c r="F22" s="77" t="s">
        <v>21</v>
      </c>
      <c r="G22" s="71" t="s">
        <v>77</v>
      </c>
      <c r="H22" s="74" t="str">
        <f>B3</f>
        <v>Việt</v>
      </c>
      <c r="I22" s="91" t="s">
        <v>124</v>
      </c>
      <c r="J22" s="90"/>
      <c r="K22" s="90"/>
      <c r="L22" s="90"/>
      <c r="M22" s="90"/>
      <c r="N22" s="90"/>
      <c r="O22" s="90"/>
      <c r="P22" s="90"/>
      <c r="Q22" s="90"/>
      <c r="R22" s="90"/>
      <c r="S22" s="90"/>
      <c r="T22" s="90"/>
      <c r="U22" s="90"/>
      <c r="V22" s="90"/>
      <c r="W22" s="90"/>
      <c r="X22" s="90"/>
      <c r="Y22" s="90"/>
      <c r="Z22" s="90"/>
    </row>
    <row r="23" ht="15.75" customHeight="1" spans="1:26">
      <c r="A23" s="71" t="str">
        <f>IF(AND(E23=""),"","["&amp;TEXT($B$1,"##")&amp;"-"&amp;TEXT(ROW()-9-COUNTBLANK($E$8:E22)+1,"##")&amp;"]")</f>
        <v>[UC02-13]</v>
      </c>
      <c r="B23" s="72" t="s">
        <v>97</v>
      </c>
      <c r="C23" s="72" t="s">
        <v>54</v>
      </c>
      <c r="D23" s="73" t="s">
        <v>125</v>
      </c>
      <c r="E23" s="72" t="s">
        <v>92</v>
      </c>
      <c r="F23" s="77" t="s">
        <v>21</v>
      </c>
      <c r="G23" s="71" t="s">
        <v>77</v>
      </c>
      <c r="H23" s="74" t="str">
        <f>B3</f>
        <v>Việt</v>
      </c>
      <c r="I23" s="91" t="s">
        <v>126</v>
      </c>
      <c r="J23" s="90"/>
      <c r="K23" s="90"/>
      <c r="L23" s="90"/>
      <c r="M23" s="90"/>
      <c r="N23" s="90"/>
      <c r="O23" s="90"/>
      <c r="P23" s="90"/>
      <c r="Q23" s="90"/>
      <c r="R23" s="90"/>
      <c r="S23" s="90"/>
      <c r="T23" s="90"/>
      <c r="U23" s="90"/>
      <c r="V23" s="90"/>
      <c r="W23" s="90"/>
      <c r="X23" s="90"/>
      <c r="Y23" s="90"/>
      <c r="Z23" s="90"/>
    </row>
    <row r="24" ht="15.75" customHeight="1" spans="1:26">
      <c r="A24" s="71" t="str">
        <f>IF(AND(E24=""),"","["&amp;TEXT($B$1,"##")&amp;"-"&amp;TEXT(ROW()-9-COUNTBLANK($E$8:E23)+1,"##")&amp;"]")</f>
        <v>[UC02-14]</v>
      </c>
      <c r="B24" s="72" t="s">
        <v>99</v>
      </c>
      <c r="C24" s="72" t="s">
        <v>54</v>
      </c>
      <c r="D24" s="73" t="s">
        <v>127</v>
      </c>
      <c r="E24" s="72" t="s">
        <v>92</v>
      </c>
      <c r="F24" s="77" t="s">
        <v>21</v>
      </c>
      <c r="G24" s="71" t="s">
        <v>77</v>
      </c>
      <c r="H24" s="74" t="str">
        <f>B3</f>
        <v>Việt</v>
      </c>
      <c r="I24" s="91" t="s">
        <v>128</v>
      </c>
      <c r="J24" s="90"/>
      <c r="K24" s="90"/>
      <c r="L24" s="90"/>
      <c r="M24" s="90"/>
      <c r="N24" s="90"/>
      <c r="O24" s="90"/>
      <c r="P24" s="90"/>
      <c r="Q24" s="90"/>
      <c r="R24" s="90"/>
      <c r="S24" s="90"/>
      <c r="T24" s="90"/>
      <c r="U24" s="90"/>
      <c r="V24" s="90"/>
      <c r="W24" s="90"/>
      <c r="X24" s="90"/>
      <c r="Y24" s="90"/>
      <c r="Z24" s="90"/>
    </row>
    <row r="25" ht="15.75" customHeight="1" spans="1:26">
      <c r="A25" s="71" t="str">
        <f>IF(AND(E25=""),"","["&amp;TEXT($B$1,"##")&amp;"-"&amp;TEXT(ROW()-9-COUNTBLANK($E$8:E24)+1,"##")&amp;"]")</f>
        <v>[UC02-15]</v>
      </c>
      <c r="B25" s="72" t="s">
        <v>101</v>
      </c>
      <c r="C25" s="72" t="s">
        <v>54</v>
      </c>
      <c r="D25" s="73" t="s">
        <v>129</v>
      </c>
      <c r="E25" s="72" t="s">
        <v>92</v>
      </c>
      <c r="F25" s="77" t="s">
        <v>21</v>
      </c>
      <c r="G25" s="71" t="s">
        <v>77</v>
      </c>
      <c r="H25" s="74" t="str">
        <f>B3</f>
        <v>Việt</v>
      </c>
      <c r="I25" s="91" t="s">
        <v>130</v>
      </c>
      <c r="J25" s="90"/>
      <c r="K25" s="90"/>
      <c r="L25" s="90"/>
      <c r="M25" s="90"/>
      <c r="N25" s="90"/>
      <c r="O25" s="90"/>
      <c r="P25" s="90"/>
      <c r="Q25" s="90"/>
      <c r="R25" s="90"/>
      <c r="S25" s="90"/>
      <c r="T25" s="90"/>
      <c r="U25" s="90"/>
      <c r="V25" s="90"/>
      <c r="W25" s="90"/>
      <c r="X25" s="90"/>
      <c r="Y25" s="90"/>
      <c r="Z25" s="90"/>
    </row>
    <row r="26" ht="15.75" customHeight="1" spans="1:26">
      <c r="A26" s="71" t="str">
        <f>IF(AND(E26=""),"","["&amp;TEXT($B$1,"##")&amp;"-"&amp;TEXT(ROW()-9-COUNTBLANK($E$8:E25)+1,"##")&amp;"]")</f>
        <v>[UC02-16]</v>
      </c>
      <c r="B26" s="72" t="s">
        <v>103</v>
      </c>
      <c r="C26" s="72" t="s">
        <v>54</v>
      </c>
      <c r="D26" s="73" t="s">
        <v>131</v>
      </c>
      <c r="E26" s="72" t="s">
        <v>105</v>
      </c>
      <c r="F26" s="77" t="s">
        <v>20</v>
      </c>
      <c r="G26" s="71" t="s">
        <v>77</v>
      </c>
      <c r="H26" s="74" t="str">
        <f>B3</f>
        <v>Việt</v>
      </c>
      <c r="I26" s="91"/>
      <c r="J26" s="90"/>
      <c r="K26" s="90"/>
      <c r="L26" s="90"/>
      <c r="M26" s="90"/>
      <c r="N26" s="90"/>
      <c r="O26" s="90"/>
      <c r="P26" s="90"/>
      <c r="Q26" s="90"/>
      <c r="R26" s="90"/>
      <c r="S26" s="90"/>
      <c r="T26" s="90"/>
      <c r="U26" s="90"/>
      <c r="V26" s="90"/>
      <c r="W26" s="90"/>
      <c r="X26" s="90"/>
      <c r="Y26" s="90"/>
      <c r="Z26" s="90"/>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4.25" customHeight="1" spans="2:9">
      <c r="B221" s="78"/>
      <c r="C221" s="79"/>
      <c r="E221" s="4"/>
      <c r="F221" s="80"/>
      <c r="G221" s="81"/>
      <c r="H221" s="81"/>
      <c r="I221" s="93"/>
    </row>
    <row r="222" ht="14.25" customHeight="1" spans="2:9">
      <c r="B222" s="78"/>
      <c r="C222" s="79"/>
      <c r="E222" s="4"/>
      <c r="F222" s="80"/>
      <c r="G222" s="81"/>
      <c r="H222" s="81"/>
      <c r="I222" s="93"/>
    </row>
    <row r="223" ht="14.25" customHeight="1" spans="2:9">
      <c r="B223" s="78"/>
      <c r="C223" s="79"/>
      <c r="E223" s="4"/>
      <c r="F223" s="80"/>
      <c r="G223" s="81"/>
      <c r="H223" s="81"/>
      <c r="I223" s="93"/>
    </row>
    <row r="224" ht="14.25" customHeight="1" spans="2:9">
      <c r="B224" s="78"/>
      <c r="C224" s="79"/>
      <c r="E224" s="4"/>
      <c r="F224" s="80"/>
      <c r="G224" s="81"/>
      <c r="H224" s="81"/>
      <c r="I224" s="93"/>
    </row>
    <row r="225" ht="14.25" customHeight="1" spans="2:9">
      <c r="B225" s="78"/>
      <c r="C225" s="79"/>
      <c r="E225" s="4"/>
      <c r="F225" s="80"/>
      <c r="G225" s="81"/>
      <c r="H225" s="81"/>
      <c r="I225" s="93"/>
    </row>
    <row r="226" ht="14.25" customHeight="1" spans="2:9">
      <c r="B226" s="78"/>
      <c r="C226" s="79"/>
      <c r="E226" s="4"/>
      <c r="F226" s="80"/>
      <c r="G226" s="81"/>
      <c r="H226" s="81"/>
      <c r="I226" s="93"/>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26" etc:filterBottomFollowUsedRange="0">
    <extLst/>
  </autoFilter>
  <mergeCells count="3">
    <mergeCell ref="B1:E1"/>
    <mergeCell ref="B2:E2"/>
    <mergeCell ref="B3:E3"/>
  </mergeCells>
  <dataValidations count="2">
    <dataValidation type="list" allowBlank="1" showErrorMessage="1" sqref="F10:F13 F15:F26">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5"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132</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1</v>
      </c>
      <c r="B5" s="55">
        <f>COUNTIF(F:F,"Fail")</f>
        <v>3</v>
      </c>
      <c r="C5" s="55">
        <f>COUNTIF(F:F,"Untested")</f>
        <v>0</v>
      </c>
      <c r="D5" s="56">
        <f>COUNTIF(F:F,"N/A")</f>
        <v>3</v>
      </c>
      <c r="E5" s="55">
        <f>SUM(A5:D5)</f>
        <v>7</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133</v>
      </c>
      <c r="C9" s="69"/>
      <c r="D9" s="68"/>
      <c r="E9" s="69"/>
      <c r="F9" s="70"/>
      <c r="G9" s="70"/>
      <c r="H9" s="70"/>
      <c r="I9" s="87"/>
      <c r="J9" s="88"/>
      <c r="K9" s="83"/>
      <c r="L9" s="83"/>
      <c r="M9" s="83"/>
      <c r="N9" s="83"/>
      <c r="O9" s="83"/>
      <c r="P9" s="83"/>
      <c r="Q9" s="83"/>
      <c r="R9" s="83"/>
      <c r="S9" s="83"/>
      <c r="T9" s="83"/>
      <c r="U9" s="83"/>
      <c r="V9" s="83"/>
      <c r="W9" s="83"/>
      <c r="X9" s="83"/>
      <c r="Y9" s="83"/>
      <c r="Z9" s="83"/>
    </row>
    <row r="10" ht="105.6" spans="1:26">
      <c r="A10" s="71" t="str">
        <f>IF(AND(E10=""),"","["&amp;TEXT($B$1,"##")&amp;"-"&amp;TEXT(ROW()-9-COUNTBLANK($E$8:E9)+1,"##")&amp;"]")</f>
        <v>[UC06-1]</v>
      </c>
      <c r="B10" s="72" t="s">
        <v>134</v>
      </c>
      <c r="C10" s="167" t="s">
        <v>135</v>
      </c>
      <c r="D10" s="73" t="s">
        <v>136</v>
      </c>
      <c r="E10" s="167" t="s">
        <v>137</v>
      </c>
      <c r="F10" s="74" t="s">
        <v>21</v>
      </c>
      <c r="G10" s="71"/>
      <c r="H10" s="74" t="str">
        <f>B3</f>
        <v>Việt</v>
      </c>
      <c r="I10" s="89" t="s">
        <v>138</v>
      </c>
      <c r="J10" s="90"/>
      <c r="K10" s="90"/>
      <c r="L10" s="90"/>
      <c r="M10" s="90"/>
      <c r="N10" s="90"/>
      <c r="O10" s="90"/>
      <c r="P10" s="90"/>
      <c r="Q10" s="90"/>
      <c r="R10" s="90"/>
      <c r="S10" s="90"/>
      <c r="T10" s="90"/>
      <c r="U10" s="90"/>
      <c r="V10" s="90"/>
      <c r="W10" s="90"/>
      <c r="X10" s="90"/>
      <c r="Y10" s="90"/>
      <c r="Z10" s="90"/>
    </row>
    <row r="11" ht="52.8" spans="1:26">
      <c r="A11" s="71" t="str">
        <f>IF(AND(E11=""),"","["&amp;TEXT($B$1,"##")&amp;"-"&amp;TEXT(ROW()-9-COUNTBLANK($E$8:E10)+1,"##")&amp;"]")</f>
        <v>[UC06-2]</v>
      </c>
      <c r="B11" s="72" t="s">
        <v>60</v>
      </c>
      <c r="C11" s="167" t="s">
        <v>135</v>
      </c>
      <c r="D11" s="73" t="s">
        <v>139</v>
      </c>
      <c r="E11" s="167" t="s">
        <v>140</v>
      </c>
      <c r="F11" s="74" t="s">
        <v>23</v>
      </c>
      <c r="G11" s="74"/>
      <c r="H11" s="74" t="str">
        <f>B3</f>
        <v>Việt</v>
      </c>
      <c r="I11" s="89" t="s">
        <v>141</v>
      </c>
      <c r="J11" s="90"/>
      <c r="K11" s="90"/>
      <c r="L11" s="90"/>
      <c r="M11" s="90"/>
      <c r="N11" s="90"/>
      <c r="O11" s="90"/>
      <c r="P11" s="90"/>
      <c r="Q11" s="90"/>
      <c r="R11" s="90"/>
      <c r="S11" s="90"/>
      <c r="T11" s="90"/>
      <c r="U11" s="90"/>
      <c r="V11" s="90"/>
      <c r="W11" s="90"/>
      <c r="X11" s="90"/>
      <c r="Y11" s="90"/>
      <c r="Z11" s="90"/>
    </row>
    <row r="12" ht="66" spans="1:26">
      <c r="A12" s="71" t="str">
        <f>IF(AND(E12=""),"","["&amp;TEXT($B$1,"##")&amp;"-"&amp;TEXT(ROW()-9-COUNTBLANK($E$8:E11)+1,"##")&amp;"]")</f>
        <v>[UC06-3]</v>
      </c>
      <c r="B12" s="72" t="s">
        <v>142</v>
      </c>
      <c r="C12" s="167" t="s">
        <v>135</v>
      </c>
      <c r="D12" s="73" t="s">
        <v>143</v>
      </c>
      <c r="E12" s="167" t="s">
        <v>144</v>
      </c>
      <c r="F12" s="74" t="s">
        <v>20</v>
      </c>
      <c r="G12" s="74"/>
      <c r="H12" s="74" t="str">
        <f>B3</f>
        <v>Việt</v>
      </c>
      <c r="I12" s="89"/>
      <c r="J12" s="90"/>
      <c r="K12" s="90"/>
      <c r="L12" s="90"/>
      <c r="M12" s="90"/>
      <c r="N12" s="90"/>
      <c r="O12" s="90"/>
      <c r="P12" s="90"/>
      <c r="Q12" s="90"/>
      <c r="R12" s="90"/>
      <c r="S12" s="90"/>
      <c r="T12" s="90"/>
      <c r="U12" s="90"/>
      <c r="V12" s="90"/>
      <c r="W12" s="90"/>
      <c r="X12" s="90"/>
      <c r="Y12" s="90"/>
      <c r="Z12" s="90"/>
    </row>
    <row r="13" ht="14.25" customHeight="1" spans="1:26">
      <c r="A13" s="68"/>
      <c r="B13" s="68" t="s">
        <v>145</v>
      </c>
      <c r="C13" s="69"/>
      <c r="D13" s="68"/>
      <c r="E13" s="69"/>
      <c r="F13" s="70"/>
      <c r="G13" s="70"/>
      <c r="H13" s="70"/>
      <c r="I13" s="87"/>
      <c r="J13" s="88"/>
      <c r="K13" s="83"/>
      <c r="L13" s="83"/>
      <c r="M13" s="83"/>
      <c r="N13" s="83"/>
      <c r="O13" s="83"/>
      <c r="P13" s="83"/>
      <c r="Q13" s="83"/>
      <c r="R13" s="83"/>
      <c r="S13" s="83"/>
      <c r="T13" s="83"/>
      <c r="U13" s="83"/>
      <c r="V13" s="83"/>
      <c r="W13" s="83"/>
      <c r="X13" s="83"/>
      <c r="Y13" s="83"/>
      <c r="Z13" s="83"/>
    </row>
    <row r="14" ht="79.2" spans="1:26">
      <c r="A14" s="71" t="str">
        <f>IF(AND(E14=""),"","["&amp;TEXT($B$1,"##")&amp;"-"&amp;TEXT(ROW()-9-COUNTBLANK($E$8:E13)+1,"##")&amp;"]")</f>
        <v>[UC06-4]</v>
      </c>
      <c r="B14" s="72" t="s">
        <v>146</v>
      </c>
      <c r="C14" s="167" t="s">
        <v>135</v>
      </c>
      <c r="D14" s="73" t="s">
        <v>147</v>
      </c>
      <c r="E14" s="167" t="s">
        <v>148</v>
      </c>
      <c r="F14" s="74" t="s">
        <v>23</v>
      </c>
      <c r="G14" s="74"/>
      <c r="H14" s="74" t="str">
        <f>B3</f>
        <v>Việt</v>
      </c>
      <c r="I14" s="89" t="s">
        <v>141</v>
      </c>
      <c r="J14" s="90"/>
      <c r="K14" s="90"/>
      <c r="L14" s="90"/>
      <c r="M14" s="90"/>
      <c r="N14" s="90"/>
      <c r="O14" s="90"/>
      <c r="P14" s="90"/>
      <c r="Q14" s="90"/>
      <c r="R14" s="90"/>
      <c r="S14" s="90"/>
      <c r="T14" s="90"/>
      <c r="U14" s="90"/>
      <c r="V14" s="90"/>
      <c r="W14" s="90"/>
      <c r="X14" s="90"/>
      <c r="Y14" s="90"/>
      <c r="Z14" s="90"/>
    </row>
    <row r="15" ht="79.2" spans="1:26">
      <c r="A15" s="71" t="str">
        <f>IF(AND(E15=""),"","["&amp;TEXT($B$1,"##")&amp;"-"&amp;TEXT(ROW()-9-COUNTBLANK($E$8:E14)+1,"##")&amp;"]")</f>
        <v>[UC06-5]</v>
      </c>
      <c r="B15" s="72" t="s">
        <v>149</v>
      </c>
      <c r="C15" s="167" t="s">
        <v>135</v>
      </c>
      <c r="D15" s="73" t="s">
        <v>150</v>
      </c>
      <c r="E15" s="167" t="s">
        <v>151</v>
      </c>
      <c r="F15" s="74" t="s">
        <v>23</v>
      </c>
      <c r="G15" s="74"/>
      <c r="H15" s="74" t="str">
        <f>B3</f>
        <v>Việt</v>
      </c>
      <c r="I15" s="89" t="s">
        <v>141</v>
      </c>
      <c r="J15" s="90"/>
      <c r="K15" s="90"/>
      <c r="L15" s="90"/>
      <c r="M15" s="90"/>
      <c r="N15" s="90"/>
      <c r="O15" s="90"/>
      <c r="P15" s="90"/>
      <c r="Q15" s="90"/>
      <c r="R15" s="90"/>
      <c r="S15" s="90"/>
      <c r="T15" s="90"/>
      <c r="U15" s="90"/>
      <c r="V15" s="90"/>
      <c r="W15" s="90"/>
      <c r="X15" s="90"/>
      <c r="Y15" s="90"/>
      <c r="Z15" s="90"/>
    </row>
    <row r="16" ht="118.8" spans="1:26">
      <c r="A16" s="71" t="str">
        <f>IF(AND(E16=""),"","["&amp;TEXT($B$1,"##")&amp;"-"&amp;TEXT(ROW()-9-COUNTBLANK($E$8:E15)+1,"##")&amp;"]")</f>
        <v>[UC06-6]</v>
      </c>
      <c r="B16" s="72" t="s">
        <v>152</v>
      </c>
      <c r="C16" s="167" t="s">
        <v>135</v>
      </c>
      <c r="D16" s="73" t="s">
        <v>153</v>
      </c>
      <c r="E16" s="167" t="s">
        <v>151</v>
      </c>
      <c r="F16" s="74" t="s">
        <v>21</v>
      </c>
      <c r="G16" s="74"/>
      <c r="H16" s="74" t="str">
        <f>B3</f>
        <v>Việt</v>
      </c>
      <c r="I16" s="89" t="s">
        <v>154</v>
      </c>
      <c r="J16" s="90"/>
      <c r="K16" s="90"/>
      <c r="L16" s="90"/>
      <c r="M16" s="90"/>
      <c r="N16" s="90"/>
      <c r="O16" s="90"/>
      <c r="P16" s="90"/>
      <c r="Q16" s="90"/>
      <c r="R16" s="90"/>
      <c r="S16" s="90"/>
      <c r="T16" s="90"/>
      <c r="U16" s="90"/>
      <c r="V16" s="90"/>
      <c r="W16" s="90"/>
      <c r="X16" s="90"/>
      <c r="Y16" s="90"/>
      <c r="Z16" s="90"/>
    </row>
    <row r="17" ht="14.25" customHeight="1" spans="1:26">
      <c r="A17" s="98"/>
      <c r="B17" s="98" t="s">
        <v>155</v>
      </c>
      <c r="C17" s="99"/>
      <c r="D17" s="98"/>
      <c r="E17" s="99"/>
      <c r="F17" s="100"/>
      <c r="G17" s="100"/>
      <c r="H17" s="100"/>
      <c r="I17" s="87"/>
      <c r="J17" s="101"/>
      <c r="K17" s="102"/>
      <c r="L17" s="102"/>
      <c r="M17" s="102"/>
      <c r="N17" s="102"/>
      <c r="O17" s="102"/>
      <c r="P17" s="102"/>
      <c r="Q17" s="102"/>
      <c r="R17" s="102"/>
      <c r="S17" s="102"/>
      <c r="T17" s="102"/>
      <c r="U17" s="102"/>
      <c r="V17" s="102"/>
      <c r="W17" s="102"/>
      <c r="X17" s="102"/>
      <c r="Y17" s="102"/>
      <c r="Z17" s="102"/>
    </row>
    <row r="18" ht="118.8" spans="1:26">
      <c r="A18" s="71" t="str">
        <f>IF(AND(E18=""),"","["&amp;TEXT($B$1,"##")&amp;"-"&amp;TEXT(ROW()-9-COUNTBLANK($E$8:E17)+1,"##")&amp;"]")</f>
        <v>[UC06-7]</v>
      </c>
      <c r="B18" s="72" t="s">
        <v>156</v>
      </c>
      <c r="C18" s="167" t="s">
        <v>135</v>
      </c>
      <c r="D18" s="73" t="s">
        <v>157</v>
      </c>
      <c r="E18" s="167" t="s">
        <v>158</v>
      </c>
      <c r="F18" s="74" t="s">
        <v>21</v>
      </c>
      <c r="G18" s="74"/>
      <c r="H18" s="74" t="str">
        <f>B3</f>
        <v>Việt</v>
      </c>
      <c r="I18" s="89" t="s">
        <v>159</v>
      </c>
      <c r="J18" s="90"/>
      <c r="K18" s="90"/>
      <c r="L18" s="90"/>
      <c r="M18" s="90"/>
      <c r="N18" s="90"/>
      <c r="O18" s="90"/>
      <c r="P18" s="90"/>
      <c r="Q18" s="90"/>
      <c r="R18" s="90"/>
      <c r="S18" s="90"/>
      <c r="T18" s="90"/>
      <c r="U18" s="90"/>
      <c r="V18" s="90"/>
      <c r="W18" s="90"/>
      <c r="X18" s="90"/>
      <c r="Y18" s="90"/>
      <c r="Z18" s="90"/>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8" etc:filterBottomFollowUsedRange="0">
    <extLst/>
  </autoFilter>
  <mergeCells count="3">
    <mergeCell ref="B1:E1"/>
    <mergeCell ref="B2:E2"/>
    <mergeCell ref="B3:E3"/>
  </mergeCells>
  <dataValidations count="2">
    <dataValidation type="list" allowBlank="1" showErrorMessage="1" sqref="F18 F10:F12 F14:F16">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0"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160</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14</v>
      </c>
      <c r="B5" s="55">
        <f>COUNTIF(F:F,"Fail")</f>
        <v>13</v>
      </c>
      <c r="C5" s="55">
        <f>COUNTIF(F:F,"Untested")</f>
        <v>7</v>
      </c>
      <c r="D5" s="56">
        <f>COUNTIF(F:F,"N/A")</f>
        <v>6</v>
      </c>
      <c r="E5" s="55">
        <f>SUM(A5:D5)</f>
        <v>40</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52</v>
      </c>
      <c r="C9" s="69"/>
      <c r="D9" s="68"/>
      <c r="E9" s="69"/>
      <c r="F9" s="70"/>
      <c r="G9" s="70"/>
      <c r="H9" s="70"/>
      <c r="I9" s="87"/>
      <c r="J9" s="88"/>
      <c r="K9" s="83"/>
      <c r="L9" s="83"/>
      <c r="M9" s="83"/>
      <c r="N9" s="83"/>
      <c r="O9" s="83"/>
      <c r="P9" s="83"/>
      <c r="Q9" s="83"/>
      <c r="R9" s="83"/>
      <c r="S9" s="83"/>
      <c r="T9" s="83"/>
      <c r="U9" s="83"/>
      <c r="V9" s="83"/>
      <c r="W9" s="83"/>
      <c r="X9" s="83"/>
      <c r="Y9" s="83"/>
      <c r="Z9" s="83"/>
    </row>
    <row r="10" ht="171.6" spans="1:26">
      <c r="A10" s="71" t="str">
        <f>IF(AND(E10=""),"","["&amp;TEXT($B$1,"##")&amp;"-"&amp;TEXT(ROW()-9-COUNTBLANK($E$8:E9)+1,"##")&amp;"]")</f>
        <v>[UC03-1]</v>
      </c>
      <c r="B10" s="72" t="s">
        <v>161</v>
      </c>
      <c r="C10" s="167" t="s">
        <v>162</v>
      </c>
      <c r="D10" s="73" t="s">
        <v>163</v>
      </c>
      <c r="E10" s="72" t="s">
        <v>164</v>
      </c>
      <c r="F10" s="74" t="s">
        <v>20</v>
      </c>
      <c r="G10" s="71" t="s">
        <v>77</v>
      </c>
      <c r="H10" s="74" t="str">
        <f>B3</f>
        <v>Việt</v>
      </c>
      <c r="I10" s="89"/>
      <c r="J10" s="90"/>
      <c r="K10" s="90"/>
      <c r="L10" s="90"/>
      <c r="M10" s="90"/>
      <c r="N10" s="90"/>
      <c r="O10" s="90"/>
      <c r="P10" s="90"/>
      <c r="Q10" s="90"/>
      <c r="R10" s="90"/>
      <c r="S10" s="90"/>
      <c r="T10" s="90"/>
      <c r="U10" s="90"/>
      <c r="V10" s="90"/>
      <c r="W10" s="90"/>
      <c r="X10" s="90"/>
      <c r="Y10" s="90"/>
      <c r="Z10" s="90"/>
    </row>
    <row r="11" ht="39.6" spans="1:26">
      <c r="A11" s="75" t="str">
        <f>IF(AND(E11=""),"","["&amp;TEXT($B$1,"##")&amp;"-"&amp;TEXT(ROW()-9-COUNTBLANK($E$8:E10)+1,"##")&amp;"]")</f>
        <v>[UC03-2]</v>
      </c>
      <c r="B11" s="76" t="s">
        <v>165</v>
      </c>
      <c r="C11" s="168" t="s">
        <v>162</v>
      </c>
      <c r="D11" s="94" t="s">
        <v>163</v>
      </c>
      <c r="E11" s="76" t="s">
        <v>59</v>
      </c>
      <c r="F11" s="77" t="s">
        <v>20</v>
      </c>
      <c r="G11" s="71" t="s">
        <v>77</v>
      </c>
      <c r="H11" s="77" t="str">
        <f>B3</f>
        <v>Việt</v>
      </c>
      <c r="I11" s="91"/>
      <c r="J11" s="92"/>
      <c r="K11" s="92"/>
      <c r="L11" s="92"/>
      <c r="M11" s="92"/>
      <c r="N11" s="92"/>
      <c r="O11" s="92"/>
      <c r="P11" s="92"/>
      <c r="Q11" s="92"/>
      <c r="R11" s="92"/>
      <c r="S11" s="92"/>
      <c r="T11" s="92"/>
      <c r="U11" s="92"/>
      <c r="V11" s="92"/>
      <c r="W11" s="92"/>
      <c r="X11" s="92"/>
      <c r="Y11" s="92"/>
      <c r="Z11" s="92"/>
    </row>
    <row r="12" ht="39.6" spans="1:26">
      <c r="A12" s="71" t="str">
        <f>IF(AND(E12=""),"","["&amp;TEXT($B$1,"##")&amp;"-"&amp;TEXT(ROW()-9-COUNTBLANK($E$8:E11)+1,"##")&amp;"]")</f>
        <v>[UC03-3]</v>
      </c>
      <c r="B12" s="72" t="s">
        <v>166</v>
      </c>
      <c r="C12" s="167" t="s">
        <v>162</v>
      </c>
      <c r="D12" s="73" t="s">
        <v>163</v>
      </c>
      <c r="E12" s="167" t="s">
        <v>61</v>
      </c>
      <c r="F12" s="74" t="s">
        <v>20</v>
      </c>
      <c r="G12" s="71" t="s">
        <v>77</v>
      </c>
      <c r="H12" s="74" t="str">
        <f>B3</f>
        <v>Việt</v>
      </c>
      <c r="I12" s="89"/>
      <c r="J12" s="90"/>
      <c r="K12" s="90"/>
      <c r="L12" s="90"/>
      <c r="M12" s="90"/>
      <c r="N12" s="90"/>
      <c r="O12" s="90"/>
      <c r="P12" s="90"/>
      <c r="Q12" s="90"/>
      <c r="R12" s="90"/>
      <c r="S12" s="90"/>
      <c r="T12" s="90"/>
      <c r="U12" s="90"/>
      <c r="V12" s="90"/>
      <c r="W12" s="90"/>
      <c r="X12" s="90"/>
      <c r="Y12" s="90"/>
      <c r="Z12" s="90"/>
    </row>
    <row r="13" ht="39.6" spans="1:26">
      <c r="A13" s="71" t="str">
        <f>IF(AND(E13=""),"","["&amp;TEXT($B$1,"##")&amp;"-"&amp;TEXT(ROW()-9-COUNTBLANK($E$8:E12)+1,"##")&amp;"]")</f>
        <v>[UC03-4]</v>
      </c>
      <c r="B13" s="72" t="s">
        <v>167</v>
      </c>
      <c r="C13" s="167" t="s">
        <v>162</v>
      </c>
      <c r="D13" s="73" t="s">
        <v>163</v>
      </c>
      <c r="E13" s="72" t="s">
        <v>65</v>
      </c>
      <c r="F13" s="74" t="s">
        <v>20</v>
      </c>
      <c r="G13" s="71" t="s">
        <v>77</v>
      </c>
      <c r="H13" s="74" t="str">
        <f>B3</f>
        <v>Việt</v>
      </c>
      <c r="I13" s="89"/>
      <c r="J13" s="90"/>
      <c r="K13" s="90"/>
      <c r="L13" s="90"/>
      <c r="M13" s="90"/>
      <c r="N13" s="90"/>
      <c r="O13" s="90"/>
      <c r="P13" s="90"/>
      <c r="Q13" s="90"/>
      <c r="R13" s="90"/>
      <c r="S13" s="90"/>
      <c r="T13" s="90"/>
      <c r="U13" s="90"/>
      <c r="V13" s="90"/>
      <c r="W13" s="90"/>
      <c r="X13" s="90"/>
      <c r="Y13" s="90"/>
      <c r="Z13" s="90"/>
    </row>
    <row r="14" ht="39.6" spans="1:26">
      <c r="A14" s="71" t="str">
        <f>IF(AND(E14=""),"","["&amp;TEXT($B$1,"##")&amp;"-"&amp;TEXT(ROW()-9-COUNTBLANK($E$8:E13)+1,"##")&amp;"]")</f>
        <v>[UC03-5]</v>
      </c>
      <c r="B14" s="76" t="s">
        <v>168</v>
      </c>
      <c r="C14" s="167" t="s">
        <v>162</v>
      </c>
      <c r="D14" s="73" t="s">
        <v>163</v>
      </c>
      <c r="E14" s="76" t="s">
        <v>59</v>
      </c>
      <c r="F14" s="74" t="s">
        <v>20</v>
      </c>
      <c r="G14" s="71" t="s">
        <v>77</v>
      </c>
      <c r="H14" s="74" t="str">
        <f>B3</f>
        <v>Việt</v>
      </c>
      <c r="I14" s="89"/>
      <c r="J14" s="90"/>
      <c r="K14" s="90"/>
      <c r="L14" s="90"/>
      <c r="M14" s="90"/>
      <c r="N14" s="90"/>
      <c r="O14" s="90"/>
      <c r="P14" s="90"/>
      <c r="Q14" s="90"/>
      <c r="R14" s="90"/>
      <c r="S14" s="90"/>
      <c r="T14" s="90"/>
      <c r="U14" s="90"/>
      <c r="V14" s="90"/>
      <c r="W14" s="90"/>
      <c r="X14" s="90"/>
      <c r="Y14" s="90"/>
      <c r="Z14" s="90"/>
    </row>
    <row r="15" ht="39.6" spans="1:26">
      <c r="A15" s="71" t="str">
        <f>IF(AND(E15=""),"","["&amp;TEXT($B$1,"##")&amp;"-"&amp;TEXT(ROW()-9-COUNTBLANK($E$8:E14)+1,"##")&amp;"]")</f>
        <v>[UC03-6]</v>
      </c>
      <c r="B15" s="72" t="s">
        <v>169</v>
      </c>
      <c r="C15" s="167" t="s">
        <v>162</v>
      </c>
      <c r="D15" s="73" t="s">
        <v>163</v>
      </c>
      <c r="E15" s="167" t="s">
        <v>61</v>
      </c>
      <c r="F15" s="74" t="s">
        <v>20</v>
      </c>
      <c r="G15" s="71" t="s">
        <v>77</v>
      </c>
      <c r="H15" s="74" t="str">
        <f>B3</f>
        <v>Việt</v>
      </c>
      <c r="I15" s="89"/>
      <c r="J15" s="90"/>
      <c r="K15" s="90"/>
      <c r="L15" s="90"/>
      <c r="M15" s="90"/>
      <c r="N15" s="90"/>
      <c r="O15" s="90"/>
      <c r="P15" s="90"/>
      <c r="Q15" s="90"/>
      <c r="R15" s="90"/>
      <c r="S15" s="90"/>
      <c r="T15" s="90"/>
      <c r="U15" s="90"/>
      <c r="V15" s="90"/>
      <c r="W15" s="90"/>
      <c r="X15" s="90"/>
      <c r="Y15" s="90"/>
      <c r="Z15" s="90"/>
    </row>
    <row r="16" ht="39.6" spans="1:26">
      <c r="A16" s="71" t="str">
        <f>IF(AND(E16=""),"","["&amp;TEXT($B$1,"##")&amp;"-"&amp;TEXT(ROW()-9-COUNTBLANK($E$8:E15)+1,"##")&amp;"]")</f>
        <v>[UC03-7]</v>
      </c>
      <c r="B16" s="72" t="s">
        <v>170</v>
      </c>
      <c r="C16" s="167" t="s">
        <v>162</v>
      </c>
      <c r="D16" s="73" t="s">
        <v>163</v>
      </c>
      <c r="E16" s="72" t="s">
        <v>65</v>
      </c>
      <c r="F16" s="74" t="s">
        <v>20</v>
      </c>
      <c r="G16" s="71" t="s">
        <v>77</v>
      </c>
      <c r="H16" s="74" t="str">
        <f>B3</f>
        <v>Việt</v>
      </c>
      <c r="I16" s="89"/>
      <c r="J16" s="90"/>
      <c r="K16" s="90"/>
      <c r="L16" s="90"/>
      <c r="M16" s="90"/>
      <c r="N16" s="90"/>
      <c r="O16" s="90"/>
      <c r="P16" s="90"/>
      <c r="Q16" s="90"/>
      <c r="R16" s="90"/>
      <c r="S16" s="90"/>
      <c r="T16" s="90"/>
      <c r="U16" s="90"/>
      <c r="V16" s="90"/>
      <c r="W16" s="90"/>
      <c r="X16" s="90"/>
      <c r="Y16" s="90"/>
      <c r="Z16" s="90"/>
    </row>
    <row r="17" ht="39.6" spans="1:26">
      <c r="A17" s="71" t="str">
        <f>IF(AND(E17=""),"","["&amp;TEXT($B$1,"##")&amp;"-"&amp;TEXT(ROW()-9-COUNTBLANK($E$8:E16)+1,"##")&amp;"]")</f>
        <v>[UC03-8]</v>
      </c>
      <c r="B17" s="76" t="s">
        <v>171</v>
      </c>
      <c r="C17" s="167" t="s">
        <v>162</v>
      </c>
      <c r="D17" s="73" t="s">
        <v>163</v>
      </c>
      <c r="E17" s="76" t="s">
        <v>59</v>
      </c>
      <c r="F17" s="74" t="s">
        <v>23</v>
      </c>
      <c r="G17" s="71"/>
      <c r="H17" s="74" t="str">
        <f>B3</f>
        <v>Việt</v>
      </c>
      <c r="I17" s="89" t="s">
        <v>172</v>
      </c>
      <c r="J17" s="90"/>
      <c r="K17" s="90"/>
      <c r="L17" s="90"/>
      <c r="M17" s="90"/>
      <c r="N17" s="90"/>
      <c r="O17" s="90"/>
      <c r="P17" s="90"/>
      <c r="Q17" s="90"/>
      <c r="R17" s="90"/>
      <c r="S17" s="90"/>
      <c r="T17" s="90"/>
      <c r="U17" s="90"/>
      <c r="V17" s="90"/>
      <c r="W17" s="90"/>
      <c r="X17" s="90"/>
      <c r="Y17" s="90"/>
      <c r="Z17" s="90"/>
    </row>
    <row r="18" ht="39.6" spans="1:26">
      <c r="A18" s="71" t="str">
        <f>IF(AND(E18=""),"","["&amp;TEXT($B$1,"##")&amp;"-"&amp;TEXT(ROW()-9-COUNTBLANK($E$8:E17)+1,"##")&amp;"]")</f>
        <v>[UC03-9]</v>
      </c>
      <c r="B18" s="72" t="s">
        <v>173</v>
      </c>
      <c r="C18" s="167" t="s">
        <v>162</v>
      </c>
      <c r="D18" s="73" t="s">
        <v>163</v>
      </c>
      <c r="E18" s="167" t="s">
        <v>61</v>
      </c>
      <c r="F18" s="74" t="s">
        <v>23</v>
      </c>
      <c r="G18" s="74"/>
      <c r="H18" s="74" t="str">
        <f>B3</f>
        <v>Việt</v>
      </c>
      <c r="I18" s="89" t="s">
        <v>172</v>
      </c>
      <c r="J18" s="90"/>
      <c r="K18" s="90"/>
      <c r="L18" s="90"/>
      <c r="M18" s="90"/>
      <c r="N18" s="90"/>
      <c r="O18" s="90"/>
      <c r="P18" s="90"/>
      <c r="Q18" s="90"/>
      <c r="R18" s="90"/>
      <c r="S18" s="90"/>
      <c r="T18" s="90"/>
      <c r="U18" s="90"/>
      <c r="V18" s="90"/>
      <c r="W18" s="90"/>
      <c r="X18" s="90"/>
      <c r="Y18" s="90"/>
      <c r="Z18" s="90"/>
    </row>
    <row r="19" ht="39.6" spans="1:26">
      <c r="A19" s="71" t="str">
        <f>IF(AND(E19=""),"","["&amp;TEXT($B$1,"##")&amp;"-"&amp;TEXT(ROW()-9-COUNTBLANK($E$8:E18)+1,"##")&amp;"]")</f>
        <v>[UC03-10]</v>
      </c>
      <c r="B19" s="72" t="s">
        <v>174</v>
      </c>
      <c r="C19" s="167" t="s">
        <v>162</v>
      </c>
      <c r="D19" s="73" t="s">
        <v>163</v>
      </c>
      <c r="E19" s="72" t="s">
        <v>65</v>
      </c>
      <c r="F19" s="74" t="s">
        <v>23</v>
      </c>
      <c r="G19" s="74"/>
      <c r="H19" s="74" t="str">
        <f>B3</f>
        <v>Việt</v>
      </c>
      <c r="I19" s="89" t="s">
        <v>172</v>
      </c>
      <c r="J19" s="90"/>
      <c r="K19" s="90"/>
      <c r="L19" s="90"/>
      <c r="M19" s="90"/>
      <c r="N19" s="90"/>
      <c r="O19" s="90"/>
      <c r="P19" s="90"/>
      <c r="Q19" s="90"/>
      <c r="R19" s="90"/>
      <c r="S19" s="90"/>
      <c r="T19" s="90"/>
      <c r="U19" s="90"/>
      <c r="V19" s="90"/>
      <c r="W19" s="90"/>
      <c r="X19" s="90"/>
      <c r="Y19" s="90"/>
      <c r="Z19" s="90"/>
    </row>
    <row r="20" ht="14.25" customHeight="1" spans="1:26">
      <c r="A20" s="68"/>
      <c r="B20" s="68" t="s">
        <v>175</v>
      </c>
      <c r="C20" s="69"/>
      <c r="D20" s="68"/>
      <c r="E20" s="69"/>
      <c r="F20" s="70"/>
      <c r="G20" s="70"/>
      <c r="H20" s="70"/>
      <c r="I20" s="87"/>
      <c r="J20" s="88"/>
      <c r="K20" s="83"/>
      <c r="L20" s="83"/>
      <c r="M20" s="83"/>
      <c r="N20" s="83"/>
      <c r="O20" s="83"/>
      <c r="P20" s="83"/>
      <c r="Q20" s="83"/>
      <c r="R20" s="83"/>
      <c r="S20" s="83"/>
      <c r="T20" s="83"/>
      <c r="U20" s="83"/>
      <c r="V20" s="83"/>
      <c r="W20" s="83"/>
      <c r="X20" s="83"/>
      <c r="Y20" s="83"/>
      <c r="Z20" s="83"/>
    </row>
    <row r="21" ht="15.75" customHeight="1" spans="1:26">
      <c r="A21" s="71" t="str">
        <f>IF(AND(E21=""),"","["&amp;TEXT($B$1,"##")&amp;"-"&amp;TEXT(ROW()-9-COUNTBLANK($E$8:E20)+1,"##")&amp;"]")</f>
        <v>[UC03-11]</v>
      </c>
      <c r="B21" s="72" t="s">
        <v>176</v>
      </c>
      <c r="C21" s="167" t="s">
        <v>162</v>
      </c>
      <c r="D21" s="73" t="s">
        <v>177</v>
      </c>
      <c r="E21" s="167" t="s">
        <v>178</v>
      </c>
      <c r="F21" s="74" t="s">
        <v>20</v>
      </c>
      <c r="G21" s="71" t="s">
        <v>77</v>
      </c>
      <c r="H21" s="74" t="str">
        <f>B3</f>
        <v>Việt</v>
      </c>
      <c r="I21" s="89"/>
      <c r="J21" s="90"/>
      <c r="K21" s="90"/>
      <c r="L21" s="90"/>
      <c r="M21" s="90"/>
      <c r="N21" s="90"/>
      <c r="O21" s="90"/>
      <c r="P21" s="90"/>
      <c r="Q21" s="90"/>
      <c r="R21" s="90"/>
      <c r="S21" s="90"/>
      <c r="T21" s="90"/>
      <c r="U21" s="90"/>
      <c r="V21" s="90"/>
      <c r="W21" s="90"/>
      <c r="X21" s="90"/>
      <c r="Y21" s="90"/>
      <c r="Z21" s="90"/>
    </row>
    <row r="22" ht="15.75" customHeight="1" spans="1:26">
      <c r="A22" s="71" t="str">
        <f>IF(AND(E22=""),"","["&amp;TEXT($B$1,"##")&amp;"-"&amp;TEXT(ROW()-9-COUNTBLANK($E$8:E21)+1,"##")&amp;"]")</f>
        <v>[UC03-12]</v>
      </c>
      <c r="B22" s="72" t="s">
        <v>179</v>
      </c>
      <c r="C22" s="167" t="s">
        <v>180</v>
      </c>
      <c r="D22" s="73" t="s">
        <v>181</v>
      </c>
      <c r="E22" s="167" t="s">
        <v>182</v>
      </c>
      <c r="F22" s="74" t="s">
        <v>20</v>
      </c>
      <c r="G22" s="71" t="s">
        <v>77</v>
      </c>
      <c r="H22" s="74" t="str">
        <f>B3</f>
        <v>Việt</v>
      </c>
      <c r="I22" s="89"/>
      <c r="J22" s="90"/>
      <c r="K22" s="90"/>
      <c r="L22" s="90"/>
      <c r="M22" s="90"/>
      <c r="N22" s="90"/>
      <c r="O22" s="90"/>
      <c r="P22" s="90"/>
      <c r="Q22" s="90"/>
      <c r="R22" s="90"/>
      <c r="S22" s="90"/>
      <c r="T22" s="90"/>
      <c r="U22" s="90"/>
      <c r="V22" s="90"/>
      <c r="W22" s="90"/>
      <c r="X22" s="90"/>
      <c r="Y22" s="90"/>
      <c r="Z22" s="90"/>
    </row>
    <row r="23" ht="15.75" customHeight="1" spans="1:26">
      <c r="A23" s="71" t="str">
        <f>IF(AND(E23=""),"","["&amp;TEXT($B$1,"##")&amp;"-"&amp;TEXT(ROW()-9-COUNTBLANK($E$8:E22)+1,"##")&amp;"]")</f>
        <v>[UC03-13]</v>
      </c>
      <c r="B23" s="72" t="s">
        <v>183</v>
      </c>
      <c r="C23" s="167" t="s">
        <v>162</v>
      </c>
      <c r="D23" s="73" t="s">
        <v>184</v>
      </c>
      <c r="E23" s="167" t="s">
        <v>178</v>
      </c>
      <c r="F23" s="74" t="s">
        <v>21</v>
      </c>
      <c r="G23" s="71" t="s">
        <v>77</v>
      </c>
      <c r="H23" s="74" t="str">
        <f>B3</f>
        <v>Việt</v>
      </c>
      <c r="I23" s="89" t="s">
        <v>185</v>
      </c>
      <c r="J23" s="90"/>
      <c r="K23" s="90"/>
      <c r="L23" s="90"/>
      <c r="M23" s="90"/>
      <c r="N23" s="90"/>
      <c r="O23" s="90"/>
      <c r="P23" s="90"/>
      <c r="Q23" s="90"/>
      <c r="R23" s="90"/>
      <c r="S23" s="90"/>
      <c r="T23" s="90"/>
      <c r="U23" s="90"/>
      <c r="V23" s="90"/>
      <c r="W23" s="90"/>
      <c r="X23" s="90"/>
      <c r="Y23" s="90"/>
      <c r="Z23" s="90"/>
    </row>
    <row r="24" ht="15.75" customHeight="1" spans="1:26">
      <c r="A24" s="71" t="str">
        <f>IF(AND(E24=""),"","["&amp;TEXT($B$1,"##")&amp;"-"&amp;TEXT(ROW()-9-COUNTBLANK($E$8:E23)+1,"##")&amp;"]")</f>
        <v>[UC03-14]</v>
      </c>
      <c r="B24" s="95" t="s">
        <v>186</v>
      </c>
      <c r="C24" s="167" t="s">
        <v>162</v>
      </c>
      <c r="D24" s="73" t="s">
        <v>187</v>
      </c>
      <c r="E24" s="72" t="s">
        <v>188</v>
      </c>
      <c r="F24" s="74" t="s">
        <v>21</v>
      </c>
      <c r="G24" s="71" t="s">
        <v>77</v>
      </c>
      <c r="H24" s="74" t="str">
        <f>B3</f>
        <v>Việt</v>
      </c>
      <c r="I24" s="89" t="s">
        <v>189</v>
      </c>
      <c r="J24" s="90"/>
      <c r="K24" s="90"/>
      <c r="L24" s="90"/>
      <c r="M24" s="90"/>
      <c r="N24" s="90"/>
      <c r="O24" s="90"/>
      <c r="P24" s="90"/>
      <c r="Q24" s="90"/>
      <c r="R24" s="90"/>
      <c r="S24" s="90"/>
      <c r="T24" s="90"/>
      <c r="U24" s="90"/>
      <c r="V24" s="90"/>
      <c r="W24" s="90"/>
      <c r="X24" s="90"/>
      <c r="Y24" s="90"/>
      <c r="Z24" s="90"/>
    </row>
    <row r="25" ht="15.75" customHeight="1" spans="1:26">
      <c r="A25" s="71" t="str">
        <f>IF(AND(E25=""),"","["&amp;TEXT($B$1,"##")&amp;"-"&amp;TEXT(ROW()-9-COUNTBLANK($E$8:E24)+1,"##")&amp;"]")</f>
        <v>[UC03-15]</v>
      </c>
      <c r="B25" s="96"/>
      <c r="C25" s="167" t="s">
        <v>162</v>
      </c>
      <c r="D25" s="73" t="s">
        <v>190</v>
      </c>
      <c r="E25" s="72" t="s">
        <v>188</v>
      </c>
      <c r="F25" s="74" t="s">
        <v>21</v>
      </c>
      <c r="G25" s="71" t="s">
        <v>77</v>
      </c>
      <c r="H25" s="74" t="str">
        <f>B3</f>
        <v>Việt</v>
      </c>
      <c r="I25" s="89" t="s">
        <v>191</v>
      </c>
      <c r="J25" s="90"/>
      <c r="K25" s="90"/>
      <c r="L25" s="90"/>
      <c r="M25" s="90"/>
      <c r="N25" s="90"/>
      <c r="O25" s="90"/>
      <c r="P25" s="90"/>
      <c r="Q25" s="90"/>
      <c r="R25" s="90"/>
      <c r="S25" s="90"/>
      <c r="T25" s="90"/>
      <c r="U25" s="90"/>
      <c r="V25" s="90"/>
      <c r="W25" s="90"/>
      <c r="X25" s="90"/>
      <c r="Y25" s="90"/>
      <c r="Z25" s="90"/>
    </row>
    <row r="26" ht="15.75" customHeight="1" spans="1:26">
      <c r="A26" s="71" t="str">
        <f>IF(AND(E26=""),"","["&amp;TEXT($B$1,"##")&amp;"-"&amp;TEXT(ROW()-9-COUNTBLANK($E$8:E25)+1,"##")&amp;"]")</f>
        <v>[UC03-16]</v>
      </c>
      <c r="B26" s="96"/>
      <c r="C26" s="167" t="s">
        <v>162</v>
      </c>
      <c r="D26" s="73" t="s">
        <v>192</v>
      </c>
      <c r="E26" s="72" t="s">
        <v>188</v>
      </c>
      <c r="F26" s="74" t="s">
        <v>21</v>
      </c>
      <c r="G26" s="71" t="s">
        <v>77</v>
      </c>
      <c r="H26" s="74" t="str">
        <f>B3</f>
        <v>Việt</v>
      </c>
      <c r="I26" s="89" t="s">
        <v>193</v>
      </c>
      <c r="J26" s="90"/>
      <c r="K26" s="90"/>
      <c r="L26" s="90"/>
      <c r="M26" s="90"/>
      <c r="N26" s="90"/>
      <c r="O26" s="90"/>
      <c r="P26" s="90"/>
      <c r="Q26" s="90"/>
      <c r="R26" s="90"/>
      <c r="S26" s="90"/>
      <c r="T26" s="90"/>
      <c r="U26" s="90"/>
      <c r="V26" s="90"/>
      <c r="W26" s="90"/>
      <c r="X26" s="90"/>
      <c r="Y26" s="90"/>
      <c r="Z26" s="90"/>
    </row>
    <row r="27" ht="15.75" customHeight="1" spans="1:26">
      <c r="A27" s="71" t="str">
        <f>IF(AND(E27=""),"","["&amp;TEXT($B$1,"##")&amp;"-"&amp;TEXT(ROW()-9-COUNTBLANK($E$8:E26)+1,"##")&amp;"]")</f>
        <v>[UC03-17]</v>
      </c>
      <c r="B27" s="96"/>
      <c r="C27" s="167" t="s">
        <v>162</v>
      </c>
      <c r="D27" s="73" t="s">
        <v>194</v>
      </c>
      <c r="E27" s="72" t="s">
        <v>188</v>
      </c>
      <c r="F27" s="74" t="s">
        <v>21</v>
      </c>
      <c r="G27" s="71" t="s">
        <v>77</v>
      </c>
      <c r="H27" s="74" t="str">
        <f>B3</f>
        <v>Việt</v>
      </c>
      <c r="I27" s="89" t="s">
        <v>195</v>
      </c>
      <c r="J27" s="90"/>
      <c r="K27" s="90"/>
      <c r="L27" s="90"/>
      <c r="M27" s="90"/>
      <c r="N27" s="90"/>
      <c r="O27" s="90"/>
      <c r="P27" s="90"/>
      <c r="Q27" s="90"/>
      <c r="R27" s="90"/>
      <c r="S27" s="90"/>
      <c r="T27" s="90"/>
      <c r="U27" s="90"/>
      <c r="V27" s="90"/>
      <c r="W27" s="90"/>
      <c r="X27" s="90"/>
      <c r="Y27" s="90"/>
      <c r="Z27" s="90"/>
    </row>
    <row r="28" ht="15.75" customHeight="1" spans="1:26">
      <c r="A28" s="71" t="str">
        <f>IF(AND(E28=""),"","["&amp;TEXT($B$1,"##")&amp;"-"&amp;TEXT(ROW()-9-COUNTBLANK($E$8:E27)+1,"##")&amp;"]")</f>
        <v>[UC03-18]</v>
      </c>
      <c r="B28" s="97"/>
      <c r="C28" s="167" t="s">
        <v>162</v>
      </c>
      <c r="D28" s="73" t="s">
        <v>196</v>
      </c>
      <c r="E28" s="72" t="s">
        <v>188</v>
      </c>
      <c r="F28" s="74" t="s">
        <v>21</v>
      </c>
      <c r="G28" s="71" t="s">
        <v>77</v>
      </c>
      <c r="H28" s="74" t="str">
        <f>B3</f>
        <v>Việt</v>
      </c>
      <c r="I28" s="89" t="s">
        <v>197</v>
      </c>
      <c r="J28" s="90"/>
      <c r="K28" s="90"/>
      <c r="L28" s="90"/>
      <c r="M28" s="90"/>
      <c r="N28" s="90"/>
      <c r="O28" s="90"/>
      <c r="P28" s="90"/>
      <c r="Q28" s="90"/>
      <c r="R28" s="90"/>
      <c r="S28" s="90"/>
      <c r="T28" s="90"/>
      <c r="U28" s="90"/>
      <c r="V28" s="90"/>
      <c r="W28" s="90"/>
      <c r="X28" s="90"/>
      <c r="Y28" s="90"/>
      <c r="Z28" s="90"/>
    </row>
    <row r="29" ht="15.75" customHeight="1" spans="1:26">
      <c r="A29" s="71" t="str">
        <f>IF(AND(E29=""),"","["&amp;TEXT($B$1,"##")&amp;"-"&amp;TEXT(ROW()-9-COUNTBLANK($E$8:E28)+1,"##")&amp;"]")</f>
        <v>[UC03-19]</v>
      </c>
      <c r="B29" s="72" t="s">
        <v>198</v>
      </c>
      <c r="C29" s="167" t="s">
        <v>162</v>
      </c>
      <c r="D29" s="73" t="s">
        <v>199</v>
      </c>
      <c r="E29" s="72" t="s">
        <v>200</v>
      </c>
      <c r="F29" s="74" t="s">
        <v>21</v>
      </c>
      <c r="G29" s="71" t="s">
        <v>77</v>
      </c>
      <c r="H29" s="74" t="str">
        <f>B3</f>
        <v>Việt</v>
      </c>
      <c r="I29" s="89" t="s">
        <v>201</v>
      </c>
      <c r="J29" s="90"/>
      <c r="K29" s="90"/>
      <c r="L29" s="90"/>
      <c r="M29" s="90"/>
      <c r="N29" s="90"/>
      <c r="O29" s="90"/>
      <c r="P29" s="90"/>
      <c r="Q29" s="90"/>
      <c r="R29" s="90"/>
      <c r="S29" s="90"/>
      <c r="T29" s="90"/>
      <c r="U29" s="90"/>
      <c r="V29" s="90"/>
      <c r="W29" s="90"/>
      <c r="X29" s="90"/>
      <c r="Y29" s="90"/>
      <c r="Z29" s="90"/>
    </row>
    <row r="30" ht="15.75" customHeight="1" spans="1:26">
      <c r="A30" s="71" t="str">
        <f>IF(AND(E30=""),"","["&amp;TEXT($B$1,"##")&amp;"-"&amp;TEXT(ROW()-9-COUNTBLANK($E$8:E29)+1,"##")&amp;"]")</f>
        <v>[UC03-20]</v>
      </c>
      <c r="B30" s="72" t="s">
        <v>202</v>
      </c>
      <c r="C30" s="167" t="s">
        <v>162</v>
      </c>
      <c r="D30" s="73" t="s">
        <v>203</v>
      </c>
      <c r="E30" s="72" t="s">
        <v>204</v>
      </c>
      <c r="F30" s="74" t="s">
        <v>20</v>
      </c>
      <c r="G30" s="71" t="s">
        <v>77</v>
      </c>
      <c r="H30" s="74" t="str">
        <f>B3</f>
        <v>Việt</v>
      </c>
      <c r="I30" s="89"/>
      <c r="J30" s="90"/>
      <c r="K30" s="90"/>
      <c r="L30" s="90"/>
      <c r="M30" s="90"/>
      <c r="N30" s="90"/>
      <c r="O30" s="90"/>
      <c r="P30" s="90"/>
      <c r="Q30" s="90"/>
      <c r="R30" s="90"/>
      <c r="S30" s="90"/>
      <c r="T30" s="90"/>
      <c r="U30" s="90"/>
      <c r="V30" s="90"/>
      <c r="W30" s="90"/>
      <c r="X30" s="90"/>
      <c r="Y30" s="90"/>
      <c r="Z30" s="90"/>
    </row>
    <row r="31" ht="14.25" customHeight="1" spans="1:26">
      <c r="A31" s="68"/>
      <c r="B31" s="68" t="s">
        <v>205</v>
      </c>
      <c r="C31" s="69"/>
      <c r="D31" s="68"/>
      <c r="E31" s="69"/>
      <c r="F31" s="70"/>
      <c r="G31" s="70"/>
      <c r="H31" s="70"/>
      <c r="I31" s="87"/>
      <c r="J31" s="88"/>
      <c r="K31" s="83"/>
      <c r="L31" s="83"/>
      <c r="M31" s="83"/>
      <c r="N31" s="83"/>
      <c r="O31" s="83"/>
      <c r="P31" s="83"/>
      <c r="Q31" s="83"/>
      <c r="R31" s="83"/>
      <c r="S31" s="83"/>
      <c r="T31" s="83"/>
      <c r="U31" s="83"/>
      <c r="V31" s="83"/>
      <c r="W31" s="83"/>
      <c r="X31" s="83"/>
      <c r="Y31" s="83"/>
      <c r="Z31" s="83"/>
    </row>
    <row r="32" ht="15.75" customHeight="1" spans="1:26">
      <c r="A32" s="71" t="str">
        <f>IF(AND(E32=""),"","["&amp;TEXT($B$1,"##")&amp;"-"&amp;TEXT(ROW()-9-COUNTBLANK($E$8:E31)+1,"##")&amp;"]")</f>
        <v>[UC03-21]</v>
      </c>
      <c r="B32" s="72" t="s">
        <v>176</v>
      </c>
      <c r="C32" s="167" t="s">
        <v>162</v>
      </c>
      <c r="D32" s="73" t="s">
        <v>206</v>
      </c>
      <c r="E32" s="167" t="s">
        <v>178</v>
      </c>
      <c r="F32" s="74" t="s">
        <v>20</v>
      </c>
      <c r="G32" s="71" t="s">
        <v>77</v>
      </c>
      <c r="H32" s="74" t="str">
        <f>B3</f>
        <v>Việt</v>
      </c>
      <c r="I32" s="89"/>
      <c r="J32" s="90"/>
      <c r="K32" s="90"/>
      <c r="L32" s="90"/>
      <c r="M32" s="90"/>
      <c r="N32" s="90"/>
      <c r="O32" s="90"/>
      <c r="P32" s="90"/>
      <c r="Q32" s="90"/>
      <c r="R32" s="90"/>
      <c r="S32" s="90"/>
      <c r="T32" s="90"/>
      <c r="U32" s="90"/>
      <c r="V32" s="90"/>
      <c r="W32" s="90"/>
      <c r="X32" s="90"/>
      <c r="Y32" s="90"/>
      <c r="Z32" s="90"/>
    </row>
    <row r="33" ht="15.75" customHeight="1" spans="1:26">
      <c r="A33" s="71" t="str">
        <f>IF(AND(E33=""),"","["&amp;TEXT($B$1,"##")&amp;"-"&amp;TEXT(ROW()-9-COUNTBLANK($E$8:E32)+1,"##")&amp;"]")</f>
        <v>[UC03-22]</v>
      </c>
      <c r="B33" s="72" t="s">
        <v>179</v>
      </c>
      <c r="C33" s="167" t="s">
        <v>180</v>
      </c>
      <c r="D33" s="73" t="s">
        <v>181</v>
      </c>
      <c r="E33" s="167" t="s">
        <v>182</v>
      </c>
      <c r="F33" s="74" t="s">
        <v>20</v>
      </c>
      <c r="G33" s="71" t="s">
        <v>77</v>
      </c>
      <c r="H33" s="74" t="str">
        <f>B3</f>
        <v>Việt</v>
      </c>
      <c r="I33" s="89"/>
      <c r="J33" s="90"/>
      <c r="K33" s="90"/>
      <c r="L33" s="90"/>
      <c r="M33" s="90"/>
      <c r="N33" s="90"/>
      <c r="O33" s="90"/>
      <c r="P33" s="90"/>
      <c r="Q33" s="90"/>
      <c r="R33" s="90"/>
      <c r="S33" s="90"/>
      <c r="T33" s="90"/>
      <c r="U33" s="90"/>
      <c r="V33" s="90"/>
      <c r="W33" s="90"/>
      <c r="X33" s="90"/>
      <c r="Y33" s="90"/>
      <c r="Z33" s="90"/>
    </row>
    <row r="34" ht="15.75" customHeight="1" spans="1:26">
      <c r="A34" s="71" t="str">
        <f>IF(AND(E34=""),"","["&amp;TEXT($B$1,"##")&amp;"-"&amp;TEXT(ROW()-9-COUNTBLANK($E$8:E33)+1,"##")&amp;"]")</f>
        <v>[UC03-23]</v>
      </c>
      <c r="B34" s="72" t="s">
        <v>183</v>
      </c>
      <c r="C34" s="167" t="s">
        <v>162</v>
      </c>
      <c r="D34" s="73" t="s">
        <v>184</v>
      </c>
      <c r="E34" s="167" t="s">
        <v>178</v>
      </c>
      <c r="F34" s="74" t="s">
        <v>20</v>
      </c>
      <c r="G34" s="71" t="s">
        <v>77</v>
      </c>
      <c r="H34" s="74" t="str">
        <f>B3</f>
        <v>Việt</v>
      </c>
      <c r="I34" s="89"/>
      <c r="J34" s="90"/>
      <c r="K34" s="90"/>
      <c r="L34" s="90"/>
      <c r="M34" s="90"/>
      <c r="N34" s="90"/>
      <c r="O34" s="90"/>
      <c r="P34" s="90"/>
      <c r="Q34" s="90"/>
      <c r="R34" s="90"/>
      <c r="S34" s="90"/>
      <c r="T34" s="90"/>
      <c r="U34" s="90"/>
      <c r="V34" s="90"/>
      <c r="W34" s="90"/>
      <c r="X34" s="90"/>
      <c r="Y34" s="90"/>
      <c r="Z34" s="90"/>
    </row>
    <row r="35" ht="15.75" customHeight="1" spans="1:26">
      <c r="A35" s="71" t="str">
        <f>IF(AND(E35=""),"","["&amp;TEXT($B$1,"##")&amp;"-"&amp;TEXT(ROW()-9-COUNTBLANK($E$8:E34)+1,"##")&amp;"]")</f>
        <v>[UC03-24]</v>
      </c>
      <c r="B35" s="95" t="s">
        <v>186</v>
      </c>
      <c r="C35" s="167" t="s">
        <v>162</v>
      </c>
      <c r="D35" s="73" t="s">
        <v>187</v>
      </c>
      <c r="E35" s="72" t="s">
        <v>188</v>
      </c>
      <c r="F35" s="74" t="s">
        <v>21</v>
      </c>
      <c r="G35" s="71" t="s">
        <v>77</v>
      </c>
      <c r="H35" s="74" t="str">
        <f>B3</f>
        <v>Việt</v>
      </c>
      <c r="I35" s="89" t="s">
        <v>207</v>
      </c>
      <c r="J35" s="90"/>
      <c r="K35" s="90"/>
      <c r="L35" s="90"/>
      <c r="M35" s="90"/>
      <c r="N35" s="90"/>
      <c r="O35" s="90"/>
      <c r="P35" s="90"/>
      <c r="Q35" s="90"/>
      <c r="R35" s="90"/>
      <c r="S35" s="90"/>
      <c r="T35" s="90"/>
      <c r="U35" s="90"/>
      <c r="V35" s="90"/>
      <c r="W35" s="90"/>
      <c r="X35" s="90"/>
      <c r="Y35" s="90"/>
      <c r="Z35" s="90"/>
    </row>
    <row r="36" ht="15.75" customHeight="1" spans="1:26">
      <c r="A36" s="71" t="str">
        <f>IF(AND(E36=""),"","["&amp;TEXT($B$1,"##")&amp;"-"&amp;TEXT(ROW()-9-COUNTBLANK($E$8:E35)+1,"##")&amp;"]")</f>
        <v>[UC03-25]</v>
      </c>
      <c r="B36" s="96"/>
      <c r="C36" s="167" t="s">
        <v>162</v>
      </c>
      <c r="D36" s="73" t="s">
        <v>190</v>
      </c>
      <c r="E36" s="72" t="s">
        <v>188</v>
      </c>
      <c r="F36" s="74" t="s">
        <v>21</v>
      </c>
      <c r="G36" s="71" t="s">
        <v>77</v>
      </c>
      <c r="H36" s="74" t="str">
        <f>B3</f>
        <v>Việt</v>
      </c>
      <c r="I36" s="89" t="s">
        <v>208</v>
      </c>
      <c r="J36" s="90"/>
      <c r="K36" s="90"/>
      <c r="L36" s="90"/>
      <c r="M36" s="90"/>
      <c r="N36" s="90"/>
      <c r="O36" s="90"/>
      <c r="P36" s="90"/>
      <c r="Q36" s="90"/>
      <c r="R36" s="90"/>
      <c r="S36" s="90"/>
      <c r="T36" s="90"/>
      <c r="U36" s="90"/>
      <c r="V36" s="90"/>
      <c r="W36" s="90"/>
      <c r="X36" s="90"/>
      <c r="Y36" s="90"/>
      <c r="Z36" s="90"/>
    </row>
    <row r="37" ht="15.75" customHeight="1" spans="1:26">
      <c r="A37" s="71" t="str">
        <f>IF(AND(E37=""),"","["&amp;TEXT($B$1,"##")&amp;"-"&amp;TEXT(ROW()-9-COUNTBLANK($E$8:E36)+1,"##")&amp;"]")</f>
        <v>[UC03-26]</v>
      </c>
      <c r="B37" s="96"/>
      <c r="C37" s="167" t="s">
        <v>162</v>
      </c>
      <c r="D37" s="73" t="s">
        <v>192</v>
      </c>
      <c r="E37" s="72" t="s">
        <v>188</v>
      </c>
      <c r="F37" s="74" t="s">
        <v>21</v>
      </c>
      <c r="G37" s="71" t="s">
        <v>77</v>
      </c>
      <c r="H37" s="74" t="str">
        <f>B3</f>
        <v>Việt</v>
      </c>
      <c r="I37" s="89" t="s">
        <v>209</v>
      </c>
      <c r="J37" s="90"/>
      <c r="K37" s="90"/>
      <c r="L37" s="90"/>
      <c r="M37" s="90"/>
      <c r="N37" s="90"/>
      <c r="O37" s="90"/>
      <c r="P37" s="90"/>
      <c r="Q37" s="90"/>
      <c r="R37" s="90"/>
      <c r="S37" s="90"/>
      <c r="T37" s="90"/>
      <c r="U37" s="90"/>
      <c r="V37" s="90"/>
      <c r="W37" s="90"/>
      <c r="X37" s="90"/>
      <c r="Y37" s="90"/>
      <c r="Z37" s="90"/>
    </row>
    <row r="38" ht="15.75" customHeight="1" spans="1:26">
      <c r="A38" s="71" t="str">
        <f>IF(AND(E38=""),"","["&amp;TEXT($B$1,"##")&amp;"-"&amp;TEXT(ROW()-9-COUNTBLANK($E$8:E37)+1,"##")&amp;"]")</f>
        <v>[UC03-27]</v>
      </c>
      <c r="B38" s="96"/>
      <c r="C38" s="167" t="s">
        <v>162</v>
      </c>
      <c r="D38" s="73" t="s">
        <v>194</v>
      </c>
      <c r="E38" s="72" t="s">
        <v>188</v>
      </c>
      <c r="F38" s="74" t="s">
        <v>21</v>
      </c>
      <c r="G38" s="71" t="s">
        <v>77</v>
      </c>
      <c r="H38" s="74" t="str">
        <f>B3</f>
        <v>Việt</v>
      </c>
      <c r="I38" s="89" t="s">
        <v>210</v>
      </c>
      <c r="J38" s="90"/>
      <c r="K38" s="90"/>
      <c r="L38" s="90"/>
      <c r="M38" s="90"/>
      <c r="N38" s="90"/>
      <c r="O38" s="90"/>
      <c r="P38" s="90"/>
      <c r="Q38" s="90"/>
      <c r="R38" s="90"/>
      <c r="S38" s="90"/>
      <c r="T38" s="90"/>
      <c r="U38" s="90"/>
      <c r="V38" s="90"/>
      <c r="W38" s="90"/>
      <c r="X38" s="90"/>
      <c r="Y38" s="90"/>
      <c r="Z38" s="90"/>
    </row>
    <row r="39" ht="15.75" customHeight="1" spans="1:26">
      <c r="A39" s="71" t="str">
        <f>IF(AND(E39=""),"","["&amp;TEXT($B$1,"##")&amp;"-"&amp;TEXT(ROW()-9-COUNTBLANK($E$8:E38)+1,"##")&amp;"]")</f>
        <v>[UC03-28]</v>
      </c>
      <c r="B39" s="97"/>
      <c r="C39" s="167" t="s">
        <v>162</v>
      </c>
      <c r="D39" s="73" t="s">
        <v>196</v>
      </c>
      <c r="E39" s="72" t="s">
        <v>188</v>
      </c>
      <c r="F39" s="74" t="s">
        <v>21</v>
      </c>
      <c r="G39" s="71" t="s">
        <v>77</v>
      </c>
      <c r="H39" s="74" t="str">
        <f>B3</f>
        <v>Việt</v>
      </c>
      <c r="I39" s="89" t="s">
        <v>211</v>
      </c>
      <c r="J39" s="90"/>
      <c r="K39" s="90"/>
      <c r="L39" s="90"/>
      <c r="M39" s="90"/>
      <c r="N39" s="90"/>
      <c r="O39" s="90"/>
      <c r="P39" s="90"/>
      <c r="Q39" s="90"/>
      <c r="R39" s="90"/>
      <c r="S39" s="90"/>
      <c r="T39" s="90"/>
      <c r="U39" s="90"/>
      <c r="V39" s="90"/>
      <c r="W39" s="90"/>
      <c r="X39" s="90"/>
      <c r="Y39" s="90"/>
      <c r="Z39" s="90"/>
    </row>
    <row r="40" ht="15.75" customHeight="1" spans="1:26">
      <c r="A40" s="71" t="str">
        <f>IF(AND(E40=""),"","["&amp;TEXT($B$1,"##")&amp;"-"&amp;TEXT(ROW()-9-COUNTBLANK($E$8:E39)+1,"##")&amp;"]")</f>
        <v>[UC03-29]</v>
      </c>
      <c r="B40" s="72" t="s">
        <v>198</v>
      </c>
      <c r="C40" s="167" t="s">
        <v>162</v>
      </c>
      <c r="D40" s="73" t="s">
        <v>199</v>
      </c>
      <c r="E40" s="72" t="s">
        <v>212</v>
      </c>
      <c r="F40" s="74" t="s">
        <v>21</v>
      </c>
      <c r="G40" s="71" t="s">
        <v>77</v>
      </c>
      <c r="H40" s="74" t="str">
        <f>B3</f>
        <v>Việt</v>
      </c>
      <c r="I40" s="89" t="s">
        <v>213</v>
      </c>
      <c r="J40" s="90"/>
      <c r="K40" s="90"/>
      <c r="L40" s="90"/>
      <c r="M40" s="90"/>
      <c r="N40" s="90"/>
      <c r="O40" s="90"/>
      <c r="P40" s="90"/>
      <c r="Q40" s="90"/>
      <c r="R40" s="90"/>
      <c r="S40" s="90"/>
      <c r="T40" s="90"/>
      <c r="U40" s="90"/>
      <c r="V40" s="90"/>
      <c r="W40" s="90"/>
      <c r="X40" s="90"/>
      <c r="Y40" s="90"/>
      <c r="Z40" s="90"/>
    </row>
    <row r="41" ht="15.75" customHeight="1" spans="1:26">
      <c r="A41" s="71" t="str">
        <f>IF(AND(E41=""),"","["&amp;TEXT($B$1,"##")&amp;"-"&amp;TEXT(ROW()-9-COUNTBLANK($E$8:E40)+1,"##")&amp;"]")</f>
        <v>[UC03-30]</v>
      </c>
      <c r="B41" s="72" t="s">
        <v>202</v>
      </c>
      <c r="C41" s="167" t="s">
        <v>162</v>
      </c>
      <c r="D41" s="73" t="s">
        <v>203</v>
      </c>
      <c r="E41" s="72" t="s">
        <v>204</v>
      </c>
      <c r="F41" s="74" t="s">
        <v>20</v>
      </c>
      <c r="G41" s="74"/>
      <c r="H41" s="74" t="str">
        <f>B3</f>
        <v>Việt</v>
      </c>
      <c r="I41" s="89"/>
      <c r="J41" s="90"/>
      <c r="K41" s="90"/>
      <c r="L41" s="90"/>
      <c r="M41" s="90"/>
      <c r="N41" s="90"/>
      <c r="O41" s="90"/>
      <c r="P41" s="90"/>
      <c r="Q41" s="90"/>
      <c r="R41" s="90"/>
      <c r="S41" s="90"/>
      <c r="T41" s="90"/>
      <c r="U41" s="90"/>
      <c r="V41" s="90"/>
      <c r="W41" s="90"/>
      <c r="X41" s="90"/>
      <c r="Y41" s="90"/>
      <c r="Z41" s="90"/>
    </row>
    <row r="42" ht="14.25" customHeight="1" spans="1:26">
      <c r="A42" s="68"/>
      <c r="B42" s="68" t="s">
        <v>214</v>
      </c>
      <c r="C42" s="69"/>
      <c r="D42" s="68"/>
      <c r="E42" s="69"/>
      <c r="F42" s="70"/>
      <c r="G42" s="70"/>
      <c r="H42" s="70"/>
      <c r="I42" s="87"/>
      <c r="J42" s="88"/>
      <c r="K42" s="83"/>
      <c r="L42" s="83"/>
      <c r="M42" s="83"/>
      <c r="N42" s="83"/>
      <c r="O42" s="83"/>
      <c r="P42" s="83"/>
      <c r="Q42" s="83"/>
      <c r="R42" s="83"/>
      <c r="S42" s="83"/>
      <c r="T42" s="83"/>
      <c r="U42" s="83"/>
      <c r="V42" s="83"/>
      <c r="W42" s="83"/>
      <c r="X42" s="83"/>
      <c r="Y42" s="83"/>
      <c r="Z42" s="83"/>
    </row>
    <row r="43" ht="15.75" customHeight="1" spans="1:26">
      <c r="A43" s="71" t="str">
        <f>IF(AND(E43=""),"","["&amp;TEXT($B$1,"##")&amp;"-"&amp;TEXT(ROW()-9-COUNTBLANK($E$8:E42)+1,"##")&amp;"]")</f>
        <v>[UC03-31]</v>
      </c>
      <c r="B43" s="72" t="s">
        <v>176</v>
      </c>
      <c r="C43" s="167" t="s">
        <v>162</v>
      </c>
      <c r="D43" s="73" t="s">
        <v>215</v>
      </c>
      <c r="E43" s="167" t="s">
        <v>178</v>
      </c>
      <c r="F43" s="74" t="s">
        <v>23</v>
      </c>
      <c r="G43" s="74"/>
      <c r="H43" s="74" t="s">
        <v>4</v>
      </c>
      <c r="I43" s="89" t="s">
        <v>216</v>
      </c>
      <c r="J43" s="90"/>
      <c r="K43" s="90"/>
      <c r="L43" s="90"/>
      <c r="M43" s="90"/>
      <c r="N43" s="90"/>
      <c r="O43" s="90"/>
      <c r="P43" s="90"/>
      <c r="Q43" s="90"/>
      <c r="R43" s="90"/>
      <c r="S43" s="90"/>
      <c r="T43" s="90"/>
      <c r="U43" s="90"/>
      <c r="V43" s="90"/>
      <c r="W43" s="90"/>
      <c r="X43" s="90"/>
      <c r="Y43" s="90"/>
      <c r="Z43" s="90"/>
    </row>
    <row r="44" ht="15.75" customHeight="1" spans="1:26">
      <c r="A44" s="71" t="str">
        <f>IF(AND(E44=""),"","["&amp;TEXT($B$1,"##")&amp;"-"&amp;TEXT(ROW()-9-COUNTBLANK($E$8:E43)+1,"##")&amp;"]")</f>
        <v>[UC03-32]</v>
      </c>
      <c r="B44" s="72" t="s">
        <v>179</v>
      </c>
      <c r="C44" s="167" t="s">
        <v>180</v>
      </c>
      <c r="D44" s="73" t="s">
        <v>181</v>
      </c>
      <c r="E44" s="167" t="s">
        <v>182</v>
      </c>
      <c r="F44" s="74" t="s">
        <v>23</v>
      </c>
      <c r="G44" s="74"/>
      <c r="H44" s="74" t="s">
        <v>4</v>
      </c>
      <c r="I44" s="89" t="s">
        <v>216</v>
      </c>
      <c r="J44" s="90"/>
      <c r="K44" s="90"/>
      <c r="L44" s="90"/>
      <c r="M44" s="90"/>
      <c r="N44" s="90"/>
      <c r="O44" s="90"/>
      <c r="P44" s="90"/>
      <c r="Q44" s="90"/>
      <c r="R44" s="90"/>
      <c r="S44" s="90"/>
      <c r="T44" s="90"/>
      <c r="U44" s="90"/>
      <c r="V44" s="90"/>
      <c r="W44" s="90"/>
      <c r="X44" s="90"/>
      <c r="Y44" s="90"/>
      <c r="Z44" s="90"/>
    </row>
    <row r="45" ht="15.75" customHeight="1" spans="1:26">
      <c r="A45" s="71" t="str">
        <f>IF(AND(E45=""),"","["&amp;TEXT($B$1,"##")&amp;"-"&amp;TEXT(ROW()-9-COUNTBLANK($E$8:E44)+1,"##")&amp;"]")</f>
        <v>[UC03-33]</v>
      </c>
      <c r="B45" s="72" t="s">
        <v>183</v>
      </c>
      <c r="C45" s="167" t="s">
        <v>162</v>
      </c>
      <c r="D45" s="73" t="s">
        <v>184</v>
      </c>
      <c r="E45" s="167" t="s">
        <v>178</v>
      </c>
      <c r="F45" s="74" t="s">
        <v>23</v>
      </c>
      <c r="G45" s="74"/>
      <c r="H45" s="74" t="s">
        <v>4</v>
      </c>
      <c r="I45" s="89" t="s">
        <v>216</v>
      </c>
      <c r="J45" s="90"/>
      <c r="K45" s="90"/>
      <c r="L45" s="90"/>
      <c r="M45" s="90"/>
      <c r="N45" s="90"/>
      <c r="O45" s="90"/>
      <c r="P45" s="90"/>
      <c r="Q45" s="90"/>
      <c r="R45" s="90"/>
      <c r="S45" s="90"/>
      <c r="T45" s="90"/>
      <c r="U45" s="90"/>
      <c r="V45" s="90"/>
      <c r="W45" s="90"/>
      <c r="X45" s="90"/>
      <c r="Y45" s="90"/>
      <c r="Z45" s="90"/>
    </row>
    <row r="46" ht="15.75" customHeight="1" spans="1:26">
      <c r="A46" s="71" t="str">
        <f>IF(AND(E46=""),"","["&amp;TEXT($B$1,"##")&amp;"-"&amp;TEXT(ROW()-9-COUNTBLANK($E$8:E45)+1,"##")&amp;"]")</f>
        <v>[UC03-34]</v>
      </c>
      <c r="B46" s="95" t="s">
        <v>186</v>
      </c>
      <c r="C46" s="167" t="s">
        <v>162</v>
      </c>
      <c r="D46" s="73" t="s">
        <v>187</v>
      </c>
      <c r="E46" s="72" t="s">
        <v>188</v>
      </c>
      <c r="F46" s="74" t="s">
        <v>217</v>
      </c>
      <c r="G46" s="74"/>
      <c r="H46" s="74" t="s">
        <v>4</v>
      </c>
      <c r="I46" s="89" t="s">
        <v>216</v>
      </c>
      <c r="J46" s="90"/>
      <c r="K46" s="90"/>
      <c r="L46" s="90"/>
      <c r="M46" s="90"/>
      <c r="N46" s="90"/>
      <c r="O46" s="90"/>
      <c r="P46" s="90"/>
      <c r="Q46" s="90"/>
      <c r="R46" s="90"/>
      <c r="S46" s="90"/>
      <c r="T46" s="90"/>
      <c r="U46" s="90"/>
      <c r="V46" s="90"/>
      <c r="W46" s="90"/>
      <c r="X46" s="90"/>
      <c r="Y46" s="90"/>
      <c r="Z46" s="90"/>
    </row>
    <row r="47" ht="15.75" customHeight="1" spans="1:26">
      <c r="A47" s="71" t="str">
        <f>IF(AND(E47=""),"","["&amp;TEXT($B$1,"##")&amp;"-"&amp;TEXT(ROW()-9-COUNTBLANK($E$8:E46)+1,"##")&amp;"]")</f>
        <v>[UC03-35]</v>
      </c>
      <c r="B47" s="96"/>
      <c r="C47" s="167" t="s">
        <v>162</v>
      </c>
      <c r="D47" s="73" t="s">
        <v>190</v>
      </c>
      <c r="E47" s="72" t="s">
        <v>188</v>
      </c>
      <c r="F47" s="74" t="s">
        <v>217</v>
      </c>
      <c r="G47" s="74"/>
      <c r="H47" s="74" t="s">
        <v>4</v>
      </c>
      <c r="I47" s="89" t="s">
        <v>216</v>
      </c>
      <c r="J47" s="90"/>
      <c r="K47" s="90"/>
      <c r="L47" s="90"/>
      <c r="M47" s="90"/>
      <c r="N47" s="90"/>
      <c r="O47" s="90"/>
      <c r="P47" s="90"/>
      <c r="Q47" s="90"/>
      <c r="R47" s="90"/>
      <c r="S47" s="90"/>
      <c r="T47" s="90"/>
      <c r="U47" s="90"/>
      <c r="V47" s="90"/>
      <c r="W47" s="90"/>
      <c r="X47" s="90"/>
      <c r="Y47" s="90"/>
      <c r="Z47" s="90"/>
    </row>
    <row r="48" ht="15.75" customHeight="1" spans="1:26">
      <c r="A48" s="71" t="str">
        <f>IF(AND(E48=""),"","["&amp;TEXT($B$1,"##")&amp;"-"&amp;TEXT(ROW()-9-COUNTBLANK($E$8:E47)+1,"##")&amp;"]")</f>
        <v>[UC03-36]</v>
      </c>
      <c r="B48" s="96"/>
      <c r="C48" s="167" t="s">
        <v>162</v>
      </c>
      <c r="D48" s="73" t="s">
        <v>192</v>
      </c>
      <c r="E48" s="72" t="s">
        <v>188</v>
      </c>
      <c r="F48" s="74" t="s">
        <v>217</v>
      </c>
      <c r="G48" s="74"/>
      <c r="H48" s="74" t="s">
        <v>4</v>
      </c>
      <c r="I48" s="89" t="s">
        <v>216</v>
      </c>
      <c r="J48" s="90"/>
      <c r="K48" s="90"/>
      <c r="L48" s="90"/>
      <c r="M48" s="90"/>
      <c r="N48" s="90"/>
      <c r="O48" s="90"/>
      <c r="P48" s="90"/>
      <c r="Q48" s="90"/>
      <c r="R48" s="90"/>
      <c r="S48" s="90"/>
      <c r="T48" s="90"/>
      <c r="U48" s="90"/>
      <c r="V48" s="90"/>
      <c r="W48" s="90"/>
      <c r="X48" s="90"/>
      <c r="Y48" s="90"/>
      <c r="Z48" s="90"/>
    </row>
    <row r="49" ht="15.75" customHeight="1" spans="1:26">
      <c r="A49" s="71" t="str">
        <f>IF(AND(E49=""),"","["&amp;TEXT($B$1,"##")&amp;"-"&amp;TEXT(ROW()-9-COUNTBLANK($E$8:E48)+1,"##")&amp;"]")</f>
        <v>[UC03-37]</v>
      </c>
      <c r="B49" s="96"/>
      <c r="C49" s="167" t="s">
        <v>162</v>
      </c>
      <c r="D49" s="73" t="s">
        <v>194</v>
      </c>
      <c r="E49" s="72" t="s">
        <v>188</v>
      </c>
      <c r="F49" s="74" t="s">
        <v>217</v>
      </c>
      <c r="G49" s="74"/>
      <c r="H49" s="74" t="s">
        <v>4</v>
      </c>
      <c r="I49" s="89" t="s">
        <v>216</v>
      </c>
      <c r="J49" s="90"/>
      <c r="K49" s="90"/>
      <c r="L49" s="90"/>
      <c r="M49" s="90"/>
      <c r="N49" s="90"/>
      <c r="O49" s="90"/>
      <c r="P49" s="90"/>
      <c r="Q49" s="90"/>
      <c r="R49" s="90"/>
      <c r="S49" s="90"/>
      <c r="T49" s="90"/>
      <c r="U49" s="90"/>
      <c r="V49" s="90"/>
      <c r="W49" s="90"/>
      <c r="X49" s="90"/>
      <c r="Y49" s="90"/>
      <c r="Z49" s="90"/>
    </row>
    <row r="50" ht="15.75" customHeight="1" spans="1:26">
      <c r="A50" s="71" t="str">
        <f>IF(AND(E50=""),"","["&amp;TEXT($B$1,"##")&amp;"-"&amp;TEXT(ROW()-9-COUNTBLANK($E$8:E49)+1,"##")&amp;"]")</f>
        <v>[UC03-38]</v>
      </c>
      <c r="B50" s="97"/>
      <c r="C50" s="167" t="s">
        <v>162</v>
      </c>
      <c r="D50" s="73" t="s">
        <v>196</v>
      </c>
      <c r="E50" s="72" t="s">
        <v>188</v>
      </c>
      <c r="F50" s="74" t="s">
        <v>217</v>
      </c>
      <c r="G50" s="74"/>
      <c r="H50" s="74" t="s">
        <v>4</v>
      </c>
      <c r="I50" s="89" t="s">
        <v>216</v>
      </c>
      <c r="J50" s="90"/>
      <c r="K50" s="90"/>
      <c r="L50" s="90"/>
      <c r="M50" s="90"/>
      <c r="N50" s="90"/>
      <c r="O50" s="90"/>
      <c r="P50" s="90"/>
      <c r="Q50" s="90"/>
      <c r="R50" s="90"/>
      <c r="S50" s="90"/>
      <c r="T50" s="90"/>
      <c r="U50" s="90"/>
      <c r="V50" s="90"/>
      <c r="W50" s="90"/>
      <c r="X50" s="90"/>
      <c r="Y50" s="90"/>
      <c r="Z50" s="90"/>
    </row>
    <row r="51" ht="15.75" customHeight="1" spans="1:26">
      <c r="A51" s="71" t="str">
        <f>IF(AND(E51=""),"","["&amp;TEXT($B$1,"##")&amp;"-"&amp;TEXT(ROW()-9-COUNTBLANK($E$8:E50)+1,"##")&amp;"]")</f>
        <v>[UC03-39]</v>
      </c>
      <c r="B51" s="72" t="s">
        <v>198</v>
      </c>
      <c r="C51" s="167" t="s">
        <v>162</v>
      </c>
      <c r="D51" s="73" t="s">
        <v>199</v>
      </c>
      <c r="E51" s="72" t="s">
        <v>200</v>
      </c>
      <c r="F51" s="74" t="s">
        <v>217</v>
      </c>
      <c r="G51" s="74"/>
      <c r="H51" s="74" t="s">
        <v>4</v>
      </c>
      <c r="I51" s="89" t="s">
        <v>216</v>
      </c>
      <c r="J51" s="90"/>
      <c r="K51" s="90"/>
      <c r="L51" s="90"/>
      <c r="M51" s="90"/>
      <c r="N51" s="90"/>
      <c r="O51" s="90"/>
      <c r="P51" s="90"/>
      <c r="Q51" s="90"/>
      <c r="R51" s="90"/>
      <c r="S51" s="90"/>
      <c r="T51" s="90"/>
      <c r="U51" s="90"/>
      <c r="V51" s="90"/>
      <c r="W51" s="90"/>
      <c r="X51" s="90"/>
      <c r="Y51" s="90"/>
      <c r="Z51" s="90"/>
    </row>
    <row r="52" ht="15.75" customHeight="1" spans="1:26">
      <c r="A52" s="71" t="str">
        <f>IF(AND(E52=""),"","["&amp;TEXT($B$1,"##")&amp;"-"&amp;TEXT(ROW()-9-COUNTBLANK($E$8:E51)+1,"##")&amp;"]")</f>
        <v>[UC03-40]</v>
      </c>
      <c r="B52" s="72" t="s">
        <v>202</v>
      </c>
      <c r="C52" s="167" t="s">
        <v>162</v>
      </c>
      <c r="D52" s="73" t="s">
        <v>203</v>
      </c>
      <c r="E52" s="72" t="s">
        <v>204</v>
      </c>
      <c r="F52" s="74" t="s">
        <v>217</v>
      </c>
      <c r="G52" s="74"/>
      <c r="H52" s="74" t="s">
        <v>4</v>
      </c>
      <c r="I52" s="89" t="s">
        <v>216</v>
      </c>
      <c r="J52" s="90"/>
      <c r="K52" s="90"/>
      <c r="L52" s="90"/>
      <c r="M52" s="90"/>
      <c r="N52" s="90"/>
      <c r="O52" s="90"/>
      <c r="P52" s="90"/>
      <c r="Q52" s="90"/>
      <c r="R52" s="90"/>
      <c r="S52" s="90"/>
      <c r="T52" s="90"/>
      <c r="U52" s="90"/>
      <c r="V52" s="90"/>
      <c r="W52" s="90"/>
      <c r="X52" s="90"/>
      <c r="Y52" s="90"/>
      <c r="Z52" s="90"/>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4.25" customHeight="1" spans="2:9">
      <c r="B221" s="78"/>
      <c r="C221" s="79"/>
      <c r="E221" s="4"/>
      <c r="F221" s="80"/>
      <c r="G221" s="81"/>
      <c r="H221" s="81"/>
      <c r="I221" s="93"/>
    </row>
    <row r="222" ht="14.25" customHeight="1" spans="2:9">
      <c r="B222" s="78"/>
      <c r="C222" s="79"/>
      <c r="E222" s="4"/>
      <c r="F222" s="80"/>
      <c r="G222" s="81"/>
      <c r="H222" s="81"/>
      <c r="I222" s="93"/>
    </row>
    <row r="223" ht="14.25" customHeight="1" spans="2:9">
      <c r="B223" s="78"/>
      <c r="C223" s="79"/>
      <c r="E223" s="4"/>
      <c r="F223" s="80"/>
      <c r="G223" s="81"/>
      <c r="H223" s="81"/>
      <c r="I223" s="93"/>
    </row>
    <row r="224" ht="14.25" customHeight="1" spans="2:9">
      <c r="B224" s="78"/>
      <c r="C224" s="79"/>
      <c r="E224" s="4"/>
      <c r="F224" s="80"/>
      <c r="G224" s="81"/>
      <c r="H224" s="81"/>
      <c r="I224" s="93"/>
    </row>
    <row r="225" ht="14.25" customHeight="1" spans="2:9">
      <c r="B225" s="78"/>
      <c r="C225" s="79"/>
      <c r="E225" s="4"/>
      <c r="F225" s="80"/>
      <c r="G225" s="81"/>
      <c r="H225" s="81"/>
      <c r="I225" s="93"/>
    </row>
    <row r="226" ht="14.25" customHeight="1" spans="2:9">
      <c r="B226" s="78"/>
      <c r="C226" s="79"/>
      <c r="E226" s="4"/>
      <c r="F226" s="80"/>
      <c r="G226" s="81"/>
      <c r="H226" s="81"/>
      <c r="I226" s="93"/>
    </row>
    <row r="227" ht="14.25" customHeight="1" spans="2:9">
      <c r="B227" s="78"/>
      <c r="C227" s="79"/>
      <c r="E227" s="4"/>
      <c r="F227" s="80"/>
      <c r="G227" s="81"/>
      <c r="H227" s="81"/>
      <c r="I227" s="93"/>
    </row>
    <row r="228" ht="14.25" customHeight="1" spans="2:9">
      <c r="B228" s="78"/>
      <c r="C228" s="79"/>
      <c r="E228" s="4"/>
      <c r="F228" s="80"/>
      <c r="G228" s="81"/>
      <c r="H228" s="81"/>
      <c r="I228" s="93"/>
    </row>
    <row r="229" ht="14.25" customHeight="1" spans="2:9">
      <c r="B229" s="78"/>
      <c r="C229" s="79"/>
      <c r="E229" s="4"/>
      <c r="F229" s="80"/>
      <c r="G229" s="81"/>
      <c r="H229" s="81"/>
      <c r="I229" s="93"/>
    </row>
    <row r="230" ht="14.25" customHeight="1" spans="2:9">
      <c r="B230" s="78"/>
      <c r="C230" s="79"/>
      <c r="E230" s="4"/>
      <c r="F230" s="80"/>
      <c r="G230" s="81"/>
      <c r="H230" s="81"/>
      <c r="I230" s="93"/>
    </row>
    <row r="231" ht="14.25" customHeight="1" spans="2:9">
      <c r="B231" s="78"/>
      <c r="C231" s="79"/>
      <c r="E231" s="4"/>
      <c r="F231" s="80"/>
      <c r="G231" s="81"/>
      <c r="H231" s="81"/>
      <c r="I231" s="93"/>
    </row>
    <row r="232" ht="14.25" customHeight="1" spans="2:9">
      <c r="B232" s="78"/>
      <c r="C232" s="79"/>
      <c r="E232" s="4"/>
      <c r="F232" s="80"/>
      <c r="G232" s="81"/>
      <c r="H232" s="81"/>
      <c r="I232" s="93"/>
    </row>
    <row r="233" ht="14.25" customHeight="1" spans="2:9">
      <c r="B233" s="78"/>
      <c r="C233" s="79"/>
      <c r="E233" s="4"/>
      <c r="F233" s="80"/>
      <c r="G233" s="81"/>
      <c r="H233" s="81"/>
      <c r="I233" s="93"/>
    </row>
    <row r="234" ht="14.25" customHeight="1" spans="2:9">
      <c r="B234" s="78"/>
      <c r="C234" s="79"/>
      <c r="E234" s="4"/>
      <c r="F234" s="80"/>
      <c r="G234" s="81"/>
      <c r="H234" s="81"/>
      <c r="I234" s="93"/>
    </row>
    <row r="235" ht="14.25" customHeight="1" spans="2:9">
      <c r="B235" s="78"/>
      <c r="C235" s="79"/>
      <c r="E235" s="4"/>
      <c r="F235" s="80"/>
      <c r="G235" s="81"/>
      <c r="H235" s="81"/>
      <c r="I235" s="93"/>
    </row>
    <row r="236" ht="14.25" customHeight="1" spans="2:9">
      <c r="B236" s="78"/>
      <c r="C236" s="79"/>
      <c r="E236" s="4"/>
      <c r="F236" s="80"/>
      <c r="G236" s="81"/>
      <c r="H236" s="81"/>
      <c r="I236" s="93"/>
    </row>
    <row r="237" ht="14.25" customHeight="1" spans="2:9">
      <c r="B237" s="78"/>
      <c r="C237" s="79"/>
      <c r="E237" s="4"/>
      <c r="F237" s="80"/>
      <c r="G237" s="81"/>
      <c r="H237" s="81"/>
      <c r="I237" s="93"/>
    </row>
    <row r="238" ht="14.25" customHeight="1" spans="2:9">
      <c r="B238" s="78"/>
      <c r="C238" s="79"/>
      <c r="E238" s="4"/>
      <c r="F238" s="80"/>
      <c r="G238" s="81"/>
      <c r="H238" s="81"/>
      <c r="I238" s="93"/>
    </row>
    <row r="239" ht="14.25" customHeight="1" spans="2:9">
      <c r="B239" s="78"/>
      <c r="C239" s="79"/>
      <c r="E239" s="4"/>
      <c r="F239" s="80"/>
      <c r="G239" s="81"/>
      <c r="H239" s="81"/>
      <c r="I239" s="93"/>
    </row>
    <row r="240" ht="14.25" customHeight="1" spans="2:9">
      <c r="B240" s="78"/>
      <c r="C240" s="79"/>
      <c r="E240" s="4"/>
      <c r="F240" s="80"/>
      <c r="G240" s="81"/>
      <c r="H240" s="81"/>
      <c r="I240" s="93"/>
    </row>
    <row r="241" ht="14.25" customHeight="1" spans="2:9">
      <c r="B241" s="78"/>
      <c r="C241" s="79"/>
      <c r="E241" s="4"/>
      <c r="F241" s="80"/>
      <c r="G241" s="81"/>
      <c r="H241" s="81"/>
      <c r="I241" s="93"/>
    </row>
    <row r="242" ht="14.25" customHeight="1" spans="2:9">
      <c r="B242" s="78"/>
      <c r="C242" s="79"/>
      <c r="E242" s="4"/>
      <c r="F242" s="80"/>
      <c r="G242" s="81"/>
      <c r="H242" s="81"/>
      <c r="I242" s="93"/>
    </row>
    <row r="243" ht="14.25" customHeight="1" spans="2:9">
      <c r="B243" s="78"/>
      <c r="C243" s="79"/>
      <c r="E243" s="4"/>
      <c r="F243" s="80"/>
      <c r="G243" s="81"/>
      <c r="H243" s="81"/>
      <c r="I243" s="93"/>
    </row>
    <row r="244" ht="14.25" customHeight="1" spans="2:9">
      <c r="B244" s="78"/>
      <c r="C244" s="79"/>
      <c r="E244" s="4"/>
      <c r="F244" s="80"/>
      <c r="G244" s="81"/>
      <c r="H244" s="81"/>
      <c r="I244" s="93"/>
    </row>
    <row r="245" ht="14.25" customHeight="1" spans="2:9">
      <c r="B245" s="78"/>
      <c r="C245" s="79"/>
      <c r="E245" s="4"/>
      <c r="F245" s="80"/>
      <c r="G245" s="81"/>
      <c r="H245" s="81"/>
      <c r="I245" s="93"/>
    </row>
    <row r="246" ht="14.25" customHeight="1" spans="2:9">
      <c r="B246" s="78"/>
      <c r="C246" s="79"/>
      <c r="E246" s="4"/>
      <c r="F246" s="80"/>
      <c r="G246" s="81"/>
      <c r="H246" s="81"/>
      <c r="I246" s="93"/>
    </row>
    <row r="247" ht="14.25" customHeight="1" spans="2:9">
      <c r="B247" s="78"/>
      <c r="C247" s="79"/>
      <c r="E247" s="4"/>
      <c r="F247" s="80"/>
      <c r="G247" s="81"/>
      <c r="H247" s="81"/>
      <c r="I247" s="93"/>
    </row>
    <row r="248" ht="14.25" customHeight="1" spans="2:9">
      <c r="B248" s="78"/>
      <c r="C248" s="79"/>
      <c r="E248" s="4"/>
      <c r="F248" s="80"/>
      <c r="G248" s="81"/>
      <c r="H248" s="81"/>
      <c r="I248" s="93"/>
    </row>
    <row r="249" ht="14.25" customHeight="1" spans="2:9">
      <c r="B249" s="78"/>
      <c r="C249" s="79"/>
      <c r="E249" s="4"/>
      <c r="F249" s="80"/>
      <c r="G249" s="81"/>
      <c r="H249" s="81"/>
      <c r="I249" s="93"/>
    </row>
    <row r="250" ht="14.25" customHeight="1" spans="2:9">
      <c r="B250" s="78"/>
      <c r="C250" s="79"/>
      <c r="E250" s="4"/>
      <c r="F250" s="80"/>
      <c r="G250" s="81"/>
      <c r="H250" s="81"/>
      <c r="I250" s="93"/>
    </row>
    <row r="251" ht="14.25" customHeight="1" spans="2:9">
      <c r="B251" s="78"/>
      <c r="C251" s="79"/>
      <c r="E251" s="4"/>
      <c r="F251" s="80"/>
      <c r="G251" s="81"/>
      <c r="H251" s="81"/>
      <c r="I251" s="93"/>
    </row>
    <row r="252" ht="14.25" customHeight="1" spans="2:9">
      <c r="B252" s="78"/>
      <c r="C252" s="79"/>
      <c r="E252" s="4"/>
      <c r="F252" s="80"/>
      <c r="G252" s="81"/>
      <c r="H252" s="81"/>
      <c r="I252" s="93"/>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52" etc:filterBottomFollowUsedRange="0">
    <extLst/>
  </autoFilter>
  <mergeCells count="6">
    <mergeCell ref="B1:E1"/>
    <mergeCell ref="B2:E2"/>
    <mergeCell ref="B3:E3"/>
    <mergeCell ref="B24:B28"/>
    <mergeCell ref="B35:B39"/>
    <mergeCell ref="B46:B50"/>
  </mergeCells>
  <dataValidations count="2">
    <dataValidation type="list" allowBlank="1" showErrorMessage="1" sqref="F10:F19 F21:F30 F32:F41 F43:F52">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218</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2</v>
      </c>
      <c r="B5" s="55">
        <f>COUNTIF(F:F,"Fail")</f>
        <v>0</v>
      </c>
      <c r="C5" s="55">
        <f>COUNTIF(F:F,"Untested")</f>
        <v>0</v>
      </c>
      <c r="D5" s="56">
        <f>COUNTIF(F:F,"N/A")</f>
        <v>1</v>
      </c>
      <c r="E5" s="55">
        <f>SUM(A5:D5)</f>
        <v>3</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52</v>
      </c>
      <c r="C9" s="69"/>
      <c r="D9" s="68"/>
      <c r="E9" s="69"/>
      <c r="F9" s="70"/>
      <c r="G9" s="70"/>
      <c r="H9" s="70"/>
      <c r="I9" s="87"/>
      <c r="J9" s="88"/>
      <c r="K9" s="83"/>
      <c r="L9" s="83"/>
      <c r="M9" s="83"/>
      <c r="N9" s="83"/>
      <c r="O9" s="83"/>
      <c r="P9" s="83"/>
      <c r="Q9" s="83"/>
      <c r="R9" s="83"/>
      <c r="S9" s="83"/>
      <c r="T9" s="83"/>
      <c r="U9" s="83"/>
      <c r="V9" s="83"/>
      <c r="W9" s="83"/>
      <c r="X9" s="83"/>
      <c r="Y9" s="83"/>
      <c r="Z9" s="83"/>
    </row>
    <row r="10" ht="14.25" customHeight="1" spans="1:26">
      <c r="A10" s="68"/>
      <c r="B10" s="68" t="s">
        <v>219</v>
      </c>
      <c r="C10" s="69"/>
      <c r="D10" s="68"/>
      <c r="E10" s="69"/>
      <c r="F10" s="70"/>
      <c r="G10" s="70"/>
      <c r="H10" s="70"/>
      <c r="I10" s="87"/>
      <c r="J10" s="88"/>
      <c r="K10" s="83"/>
      <c r="L10" s="83"/>
      <c r="M10" s="83"/>
      <c r="N10" s="83"/>
      <c r="O10" s="83"/>
      <c r="P10" s="83"/>
      <c r="Q10" s="83"/>
      <c r="R10" s="83"/>
      <c r="S10" s="83"/>
      <c r="T10" s="83"/>
      <c r="U10" s="83"/>
      <c r="V10" s="83"/>
      <c r="W10" s="83"/>
      <c r="X10" s="83"/>
      <c r="Y10" s="83"/>
      <c r="Z10" s="83"/>
    </row>
    <row r="11" ht="52.8" spans="1:26">
      <c r="A11" s="71" t="str">
        <f>IF(AND(E11=""),"","["&amp;TEXT($B$1,"##")&amp;"-"&amp;TEXT(ROW()-9-COUNTBLANK($E$8:E10)+1,"##")&amp;"]")</f>
        <v>[UC04-1]</v>
      </c>
      <c r="B11" s="72" t="s">
        <v>220</v>
      </c>
      <c r="C11" s="167" t="s">
        <v>221</v>
      </c>
      <c r="D11" s="73" t="s">
        <v>222</v>
      </c>
      <c r="E11" s="167" t="s">
        <v>223</v>
      </c>
      <c r="F11" s="74" t="s">
        <v>20</v>
      </c>
      <c r="G11" s="71" t="s">
        <v>77</v>
      </c>
      <c r="H11" s="74" t="str">
        <f>B3</f>
        <v>Việt</v>
      </c>
      <c r="I11" s="89"/>
      <c r="J11" s="90"/>
      <c r="K11" s="90"/>
      <c r="L11" s="90"/>
      <c r="M11" s="90"/>
      <c r="N11" s="90"/>
      <c r="O11" s="90"/>
      <c r="P11" s="90"/>
      <c r="Q11" s="90"/>
      <c r="R11" s="90"/>
      <c r="S11" s="90"/>
      <c r="T11" s="90"/>
      <c r="U11" s="90"/>
      <c r="V11" s="90"/>
      <c r="W11" s="90"/>
      <c r="X11" s="90"/>
      <c r="Y11" s="90"/>
      <c r="Z11" s="90"/>
    </row>
    <row r="12" ht="14.25" customHeight="1" spans="1:26">
      <c r="A12" s="68"/>
      <c r="B12" s="68" t="s">
        <v>224</v>
      </c>
      <c r="C12" s="69"/>
      <c r="D12" s="68"/>
      <c r="E12" s="69"/>
      <c r="F12" s="70"/>
      <c r="G12" s="70"/>
      <c r="H12" s="70"/>
      <c r="I12" s="87"/>
      <c r="J12" s="88"/>
      <c r="K12" s="83"/>
      <c r="L12" s="83"/>
      <c r="M12" s="83"/>
      <c r="N12" s="83"/>
      <c r="O12" s="83"/>
      <c r="P12" s="83"/>
      <c r="Q12" s="83"/>
      <c r="R12" s="83"/>
      <c r="S12" s="83"/>
      <c r="T12" s="83"/>
      <c r="U12" s="83"/>
      <c r="V12" s="83"/>
      <c r="W12" s="83"/>
      <c r="X12" s="83"/>
      <c r="Y12" s="83"/>
      <c r="Z12" s="83"/>
    </row>
    <row r="13" ht="52.8" spans="1:26">
      <c r="A13" s="71" t="str">
        <f>IF(AND(E13=""),"","["&amp;TEXT($B$1,"##")&amp;"-"&amp;TEXT(ROW()-9-COUNTBLANK($E$8:E12)+1,"##")&amp;"]")</f>
        <v>[UC04-2]</v>
      </c>
      <c r="B13" s="72" t="s">
        <v>220</v>
      </c>
      <c r="C13" s="167" t="s">
        <v>221</v>
      </c>
      <c r="D13" s="73" t="s">
        <v>222</v>
      </c>
      <c r="E13" s="167" t="s">
        <v>223</v>
      </c>
      <c r="F13" s="74" t="s">
        <v>20</v>
      </c>
      <c r="G13" s="71" t="s">
        <v>77</v>
      </c>
      <c r="H13" s="74" t="str">
        <f>B3</f>
        <v>Việt</v>
      </c>
      <c r="I13" s="89"/>
      <c r="J13" s="90"/>
      <c r="K13" s="90"/>
      <c r="L13" s="90"/>
      <c r="M13" s="90"/>
      <c r="N13" s="90"/>
      <c r="O13" s="90"/>
      <c r="P13" s="90"/>
      <c r="Q13" s="90"/>
      <c r="R13" s="90"/>
      <c r="S13" s="90"/>
      <c r="T13" s="90"/>
      <c r="U13" s="90"/>
      <c r="V13" s="90"/>
      <c r="W13" s="90"/>
      <c r="X13" s="90"/>
      <c r="Y13" s="90"/>
      <c r="Z13" s="90"/>
    </row>
    <row r="14" ht="14.25" customHeight="1" spans="1:26">
      <c r="A14" s="68"/>
      <c r="B14" s="68" t="s">
        <v>225</v>
      </c>
      <c r="C14" s="69"/>
      <c r="D14" s="68"/>
      <c r="E14" s="69"/>
      <c r="F14" s="70"/>
      <c r="G14" s="70"/>
      <c r="H14" s="70"/>
      <c r="I14" s="87"/>
      <c r="J14" s="88"/>
      <c r="K14" s="83"/>
      <c r="L14" s="83"/>
      <c r="M14" s="83"/>
      <c r="N14" s="83"/>
      <c r="O14" s="83"/>
      <c r="P14" s="83"/>
      <c r="Q14" s="83"/>
      <c r="R14" s="83"/>
      <c r="S14" s="83"/>
      <c r="T14" s="83"/>
      <c r="U14" s="83"/>
      <c r="V14" s="83"/>
      <c r="W14" s="83"/>
      <c r="X14" s="83"/>
      <c r="Y14" s="83"/>
      <c r="Z14" s="83"/>
    </row>
    <row r="15" ht="52.8" spans="1:26">
      <c r="A15" s="71" t="str">
        <f>IF(AND(E15=""),"","["&amp;TEXT($B$1,"##")&amp;"-"&amp;TEXT(ROW()-9-COUNTBLANK($E$8:E14)+1,"##")&amp;"]")</f>
        <v>[UC04-3]</v>
      </c>
      <c r="B15" s="72" t="s">
        <v>220</v>
      </c>
      <c r="C15" s="167" t="s">
        <v>221</v>
      </c>
      <c r="D15" s="73" t="s">
        <v>222</v>
      </c>
      <c r="E15" s="167" t="s">
        <v>223</v>
      </c>
      <c r="F15" s="74" t="s">
        <v>23</v>
      </c>
      <c r="G15" s="74"/>
      <c r="H15" s="74" t="str">
        <f>B3</f>
        <v>Việt</v>
      </c>
      <c r="I15" s="89" t="s">
        <v>216</v>
      </c>
      <c r="J15" s="90"/>
      <c r="K15" s="90"/>
      <c r="L15" s="90"/>
      <c r="M15" s="90"/>
      <c r="N15" s="90"/>
      <c r="O15" s="90"/>
      <c r="P15" s="90"/>
      <c r="Q15" s="90"/>
      <c r="R15" s="90"/>
      <c r="S15" s="90"/>
      <c r="T15" s="90"/>
      <c r="U15" s="90"/>
      <c r="V15" s="90"/>
      <c r="W15" s="90"/>
      <c r="X15" s="90"/>
      <c r="Y15" s="90"/>
      <c r="Z15" s="90"/>
    </row>
    <row r="16" ht="14.25" customHeight="1" spans="2:9">
      <c r="B16" s="78"/>
      <c r="C16" s="79"/>
      <c r="E16" s="4"/>
      <c r="F16" s="80"/>
      <c r="G16" s="81"/>
      <c r="H16" s="81"/>
      <c r="I16" s="93"/>
    </row>
    <row r="17" ht="14.25" customHeight="1" spans="2:9">
      <c r="B17" s="78"/>
      <c r="C17" s="79"/>
      <c r="E17" s="4"/>
      <c r="F17" s="80"/>
      <c r="G17" s="81"/>
      <c r="H17" s="81"/>
      <c r="I17" s="93"/>
    </row>
    <row r="18" ht="14.25" customHeight="1" spans="2:9">
      <c r="B18" s="78"/>
      <c r="C18" s="79"/>
      <c r="E18" s="4"/>
      <c r="F18" s="80"/>
      <c r="G18" s="81"/>
      <c r="H18" s="81"/>
      <c r="I18" s="93"/>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5" etc:filterBottomFollowUsedRange="0">
    <extLst/>
  </autoFilter>
  <mergeCells count="3">
    <mergeCell ref="B1:E1"/>
    <mergeCell ref="B2:E2"/>
    <mergeCell ref="B3:E3"/>
  </mergeCells>
  <dataValidations count="2">
    <dataValidation type="list" allowBlank="1" showErrorMessage="1" sqref="F11 F13 F15">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0"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226</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6</v>
      </c>
      <c r="B5" s="55">
        <f>COUNTIF(F:F,"Fail")</f>
        <v>1</v>
      </c>
      <c r="C5" s="55">
        <f>COUNTIF(F:F,"Untested")</f>
        <v>0</v>
      </c>
      <c r="D5" s="56">
        <f>COUNTIF(F:F,"N/A")</f>
        <v>0</v>
      </c>
      <c r="E5" s="55">
        <f>SUM(A5:D5)</f>
        <v>7</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52</v>
      </c>
      <c r="C9" s="69"/>
      <c r="D9" s="68"/>
      <c r="E9" s="69"/>
      <c r="F9" s="70"/>
      <c r="G9" s="70"/>
      <c r="H9" s="70"/>
      <c r="I9" s="87"/>
      <c r="J9" s="88"/>
      <c r="K9" s="83"/>
      <c r="L9" s="83"/>
      <c r="M9" s="83"/>
      <c r="N9" s="83"/>
      <c r="O9" s="83"/>
      <c r="P9" s="83"/>
      <c r="Q9" s="83"/>
      <c r="R9" s="83"/>
      <c r="S9" s="83"/>
      <c r="T9" s="83"/>
      <c r="U9" s="83"/>
      <c r="V9" s="83"/>
      <c r="W9" s="83"/>
      <c r="X9" s="83"/>
      <c r="Y9" s="83"/>
      <c r="Z9" s="83"/>
    </row>
    <row r="10" ht="52.8" spans="1:26">
      <c r="A10" s="71" t="str">
        <f>IF(AND(E10=""),"","["&amp;TEXT($B$1,"##")&amp;"-"&amp;TEXT(ROW()-9-COUNTBLANK($E$8:E9)+1,"##")&amp;"]")</f>
        <v>[UC05-1]</v>
      </c>
      <c r="B10" s="72" t="s">
        <v>227</v>
      </c>
      <c r="C10" s="167" t="s">
        <v>162</v>
      </c>
      <c r="D10" s="73" t="s">
        <v>228</v>
      </c>
      <c r="E10" s="72" t="s">
        <v>229</v>
      </c>
      <c r="F10" s="74" t="s">
        <v>20</v>
      </c>
      <c r="G10" s="71" t="s">
        <v>77</v>
      </c>
      <c r="H10" s="74" t="str">
        <f>B3</f>
        <v>Việt</v>
      </c>
      <c r="I10" s="89"/>
      <c r="J10" s="90"/>
      <c r="K10" s="90"/>
      <c r="L10" s="90"/>
      <c r="M10" s="90"/>
      <c r="N10" s="90"/>
      <c r="O10" s="90"/>
      <c r="P10" s="90"/>
      <c r="Q10" s="90"/>
      <c r="R10" s="90"/>
      <c r="S10" s="90"/>
      <c r="T10" s="90"/>
      <c r="U10" s="90"/>
      <c r="V10" s="90"/>
      <c r="W10" s="90"/>
      <c r="X10" s="90"/>
      <c r="Y10" s="90"/>
      <c r="Z10" s="90"/>
    </row>
    <row r="11" ht="39.6" spans="1:26">
      <c r="A11" s="75" t="str">
        <f>IF(AND(E11=""),"","["&amp;TEXT($B$1,"##")&amp;"-"&amp;TEXT(ROW()-9-COUNTBLANK($E$8:E10)+1,"##")&amp;"]")</f>
        <v>[UC05-2]</v>
      </c>
      <c r="B11" s="76" t="s">
        <v>60</v>
      </c>
      <c r="C11" s="168" t="s">
        <v>162</v>
      </c>
      <c r="D11" s="73" t="s">
        <v>230</v>
      </c>
      <c r="E11" s="168" t="s">
        <v>231</v>
      </c>
      <c r="F11" s="77" t="s">
        <v>20</v>
      </c>
      <c r="G11" s="71" t="s">
        <v>77</v>
      </c>
      <c r="H11" s="77" t="str">
        <f>B3</f>
        <v>Việt</v>
      </c>
      <c r="I11" s="91"/>
      <c r="J11" s="92"/>
      <c r="K11" s="92"/>
      <c r="L11" s="92"/>
      <c r="M11" s="92"/>
      <c r="N11" s="92"/>
      <c r="O11" s="92"/>
      <c r="P11" s="92"/>
      <c r="Q11" s="92"/>
      <c r="R11" s="92"/>
      <c r="S11" s="92"/>
      <c r="T11" s="92"/>
      <c r="U11" s="92"/>
      <c r="V11" s="92"/>
      <c r="W11" s="92"/>
      <c r="X11" s="92"/>
      <c r="Y11" s="92"/>
      <c r="Z11" s="92"/>
    </row>
    <row r="12" ht="39.6" spans="1:26">
      <c r="A12" s="75" t="str">
        <f>IF(AND(E12=""),"","["&amp;TEXT($B$1,"##")&amp;"-"&amp;TEXT(ROW()-9-COUNTBLANK($E$8:E11)+1,"##")&amp;"]")</f>
        <v>[UC05-3]</v>
      </c>
      <c r="B12" s="76" t="s">
        <v>232</v>
      </c>
      <c r="C12" s="168" t="s">
        <v>162</v>
      </c>
      <c r="D12" s="73" t="s">
        <v>233</v>
      </c>
      <c r="E12" s="168" t="s">
        <v>234</v>
      </c>
      <c r="F12" s="77" t="s">
        <v>20</v>
      </c>
      <c r="G12" s="71" t="s">
        <v>77</v>
      </c>
      <c r="H12" s="77" t="str">
        <f>B3</f>
        <v>Việt</v>
      </c>
      <c r="I12" s="91"/>
      <c r="J12" s="92"/>
      <c r="K12" s="92"/>
      <c r="L12" s="92"/>
      <c r="M12" s="92"/>
      <c r="N12" s="92"/>
      <c r="O12" s="92"/>
      <c r="P12" s="92"/>
      <c r="Q12" s="92"/>
      <c r="R12" s="92"/>
      <c r="S12" s="92"/>
      <c r="T12" s="92"/>
      <c r="U12" s="92"/>
      <c r="V12" s="92"/>
      <c r="W12" s="92"/>
      <c r="X12" s="92"/>
      <c r="Y12" s="92"/>
      <c r="Z12" s="92"/>
    </row>
    <row r="13" ht="39.6" spans="1:26">
      <c r="A13" s="71" t="str">
        <f>IF(AND(E13=""),"","["&amp;TEXT($B$1,"##")&amp;"-"&amp;TEXT(ROW()-9-COUNTBLANK($E$8:E11)+1,"##")&amp;"]")</f>
        <v>[UC05-4]</v>
      </c>
      <c r="B13" s="72" t="s">
        <v>235</v>
      </c>
      <c r="C13" s="167" t="s">
        <v>162</v>
      </c>
      <c r="D13" s="73" t="s">
        <v>236</v>
      </c>
      <c r="E13" s="167" t="s">
        <v>144</v>
      </c>
      <c r="F13" s="77" t="s">
        <v>20</v>
      </c>
      <c r="G13" s="71" t="s">
        <v>77</v>
      </c>
      <c r="H13" s="74" t="str">
        <f>B3</f>
        <v>Việt</v>
      </c>
      <c r="I13" s="89"/>
      <c r="J13" s="90"/>
      <c r="K13" s="90"/>
      <c r="L13" s="90"/>
      <c r="M13" s="90"/>
      <c r="N13" s="90"/>
      <c r="O13" s="90"/>
      <c r="P13" s="90"/>
      <c r="Q13" s="90"/>
      <c r="R13" s="90"/>
      <c r="S13" s="90"/>
      <c r="T13" s="90"/>
      <c r="U13" s="90"/>
      <c r="V13" s="90"/>
      <c r="W13" s="90"/>
      <c r="X13" s="90"/>
      <c r="Y13" s="90"/>
      <c r="Z13" s="90"/>
    </row>
    <row r="14" ht="14.25" customHeight="1" spans="1:26">
      <c r="A14" s="68"/>
      <c r="B14" s="68" t="s">
        <v>237</v>
      </c>
      <c r="C14" s="69"/>
      <c r="D14" s="68"/>
      <c r="E14" s="69"/>
      <c r="F14" s="70"/>
      <c r="G14" s="70"/>
      <c r="H14" s="70"/>
      <c r="I14" s="87"/>
      <c r="J14" s="88"/>
      <c r="K14" s="83"/>
      <c r="L14" s="83"/>
      <c r="M14" s="83"/>
      <c r="N14" s="83"/>
      <c r="O14" s="83"/>
      <c r="P14" s="83"/>
      <c r="Q14" s="83"/>
      <c r="R14" s="83"/>
      <c r="S14" s="83"/>
      <c r="T14" s="83"/>
      <c r="U14" s="83"/>
      <c r="V14" s="83"/>
      <c r="W14" s="83"/>
      <c r="X14" s="83"/>
      <c r="Y14" s="83"/>
      <c r="Z14" s="83"/>
    </row>
    <row r="15" ht="79.2" spans="1:26">
      <c r="A15" s="71" t="str">
        <f>IF(AND(E15=""),"","["&amp;TEXT($B$1,"##")&amp;"-"&amp;TEXT(ROW()-9-COUNTBLANK($E$8:E14)+1,"##")&amp;"]")</f>
        <v>[UC05-5]</v>
      </c>
      <c r="B15" s="72" t="s">
        <v>146</v>
      </c>
      <c r="C15" s="167" t="s">
        <v>162</v>
      </c>
      <c r="D15" s="73" t="s">
        <v>238</v>
      </c>
      <c r="E15" s="167" t="s">
        <v>239</v>
      </c>
      <c r="F15" s="74" t="s">
        <v>20</v>
      </c>
      <c r="G15" s="71" t="s">
        <v>77</v>
      </c>
      <c r="H15" s="74" t="str">
        <f>B3</f>
        <v>Việt</v>
      </c>
      <c r="I15" s="89"/>
      <c r="J15" s="90"/>
      <c r="K15" s="90"/>
      <c r="L15" s="90"/>
      <c r="M15" s="90"/>
      <c r="N15" s="90"/>
      <c r="O15" s="90"/>
      <c r="P15" s="90"/>
      <c r="Q15" s="90"/>
      <c r="R15" s="90"/>
      <c r="S15" s="90"/>
      <c r="T15" s="90"/>
      <c r="U15" s="90"/>
      <c r="V15" s="90"/>
      <c r="W15" s="90"/>
      <c r="X15" s="90"/>
      <c r="Y15" s="90"/>
      <c r="Z15" s="90"/>
    </row>
    <row r="16" ht="118.8" spans="1:26">
      <c r="A16" s="71" t="str">
        <f>IF(AND(E16=""),"","["&amp;TEXT($B$1,"##")&amp;"-"&amp;TEXT(ROW()-9-COUNTBLANK($E$8:E15)+1,"##")&amp;"]")</f>
        <v>[UC05-6]</v>
      </c>
      <c r="B16" s="72" t="s">
        <v>240</v>
      </c>
      <c r="C16" s="167" t="s">
        <v>180</v>
      </c>
      <c r="D16" s="73" t="s">
        <v>241</v>
      </c>
      <c r="E16" s="167" t="s">
        <v>242</v>
      </c>
      <c r="F16" s="74" t="s">
        <v>21</v>
      </c>
      <c r="G16" s="71" t="s">
        <v>77</v>
      </c>
      <c r="H16" s="74" t="str">
        <f>B3</f>
        <v>Việt</v>
      </c>
      <c r="I16" s="89" t="s">
        <v>243</v>
      </c>
      <c r="J16" s="90"/>
      <c r="K16" s="90"/>
      <c r="L16" s="90"/>
      <c r="M16" s="90"/>
      <c r="N16" s="90"/>
      <c r="O16" s="90"/>
      <c r="P16" s="90"/>
      <c r="Q16" s="90"/>
      <c r="R16" s="90"/>
      <c r="S16" s="90"/>
      <c r="T16" s="90"/>
      <c r="U16" s="90"/>
      <c r="V16" s="90"/>
      <c r="W16" s="90"/>
      <c r="X16" s="90"/>
      <c r="Y16" s="90"/>
      <c r="Z16" s="90"/>
    </row>
    <row r="17" ht="52.8" spans="1:26">
      <c r="A17" s="71" t="str">
        <f>IF(AND(E17=""),"","["&amp;TEXT($B$1,"##")&amp;"-"&amp;TEXT(ROW()-9-COUNTBLANK($E$8:E16)+1,"##")&amp;"]")</f>
        <v>[UC05-7]</v>
      </c>
      <c r="B17" s="72" t="s">
        <v>152</v>
      </c>
      <c r="C17" s="167" t="s">
        <v>162</v>
      </c>
      <c r="D17" s="73" t="s">
        <v>244</v>
      </c>
      <c r="E17" s="167" t="s">
        <v>242</v>
      </c>
      <c r="F17" s="74" t="s">
        <v>20</v>
      </c>
      <c r="G17" s="74"/>
      <c r="H17" s="74" t="str">
        <f>B3</f>
        <v>Việt</v>
      </c>
      <c r="I17" s="89"/>
      <c r="J17" s="90"/>
      <c r="K17" s="90"/>
      <c r="L17" s="90"/>
      <c r="M17" s="90"/>
      <c r="N17" s="90"/>
      <c r="O17" s="90"/>
      <c r="P17" s="90"/>
      <c r="Q17" s="90"/>
      <c r="R17" s="90"/>
      <c r="S17" s="90"/>
      <c r="T17" s="90"/>
      <c r="U17" s="90"/>
      <c r="V17" s="90"/>
      <c r="W17" s="90"/>
      <c r="X17" s="90"/>
      <c r="Y17" s="90"/>
      <c r="Z17" s="90"/>
    </row>
    <row r="18" ht="14.25" customHeight="1" spans="2:9">
      <c r="B18" s="78"/>
      <c r="C18" s="79"/>
      <c r="E18" s="4"/>
      <c r="F18" s="80"/>
      <c r="G18" s="81"/>
      <c r="H18" s="81"/>
      <c r="I18" s="93"/>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7" etc:filterBottomFollowUsedRange="0">
    <extLst/>
  </autoFilter>
  <mergeCells count="3">
    <mergeCell ref="B1:E1"/>
    <mergeCell ref="B2:E2"/>
    <mergeCell ref="B3:E3"/>
  </mergeCells>
  <dataValidations count="2">
    <dataValidation type="list" allowBlank="1" showErrorMessage="1" sqref="F10:F13 F15:F17">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0"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245</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1</v>
      </c>
      <c r="B5" s="55">
        <f>COUNTIF(F:F,"Fail")</f>
        <v>1</v>
      </c>
      <c r="C5" s="55">
        <f>COUNTIF(F:F,"Untested")</f>
        <v>0</v>
      </c>
      <c r="D5" s="56">
        <f>COUNTIF(F:F,"N/A")</f>
        <v>0</v>
      </c>
      <c r="E5" s="55">
        <f>SUM(A5:D5)</f>
        <v>2</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246</v>
      </c>
      <c r="C9" s="69"/>
      <c r="D9" s="68"/>
      <c r="E9" s="69"/>
      <c r="F9" s="70"/>
      <c r="G9" s="70"/>
      <c r="H9" s="70"/>
      <c r="I9" s="87"/>
      <c r="J9" s="88"/>
      <c r="K9" s="83"/>
      <c r="L9" s="83"/>
      <c r="M9" s="83"/>
      <c r="N9" s="83"/>
      <c r="O9" s="83"/>
      <c r="P9" s="83"/>
      <c r="Q9" s="83"/>
      <c r="R9" s="83"/>
      <c r="S9" s="83"/>
      <c r="T9" s="83"/>
      <c r="U9" s="83"/>
      <c r="V9" s="83"/>
      <c r="W9" s="83"/>
      <c r="X9" s="83"/>
      <c r="Y9" s="83"/>
      <c r="Z9" s="83"/>
    </row>
    <row r="10" ht="39.6" spans="1:26">
      <c r="A10" s="71" t="str">
        <f>IF(AND(E10=""),"","["&amp;TEXT($B$1,"##")&amp;"-"&amp;TEXT(ROW()-9-COUNTBLANK($E$8:E9)+1,"##")&amp;"]")</f>
        <v>[UC07-1]</v>
      </c>
      <c r="B10" s="72" t="s">
        <v>247</v>
      </c>
      <c r="C10" s="167" t="s">
        <v>180</v>
      </c>
      <c r="D10" s="73" t="s">
        <v>248</v>
      </c>
      <c r="E10" s="167" t="s">
        <v>249</v>
      </c>
      <c r="F10" s="74" t="s">
        <v>20</v>
      </c>
      <c r="G10" s="71" t="s">
        <v>250</v>
      </c>
      <c r="H10" s="74" t="str">
        <f>B3</f>
        <v>Việt</v>
      </c>
      <c r="I10" s="89"/>
      <c r="J10" s="90"/>
      <c r="K10" s="90"/>
      <c r="L10" s="90"/>
      <c r="M10" s="90"/>
      <c r="N10" s="90"/>
      <c r="O10" s="90"/>
      <c r="P10" s="90"/>
      <c r="Q10" s="90"/>
      <c r="R10" s="90"/>
      <c r="S10" s="90"/>
      <c r="T10" s="90"/>
      <c r="U10" s="90"/>
      <c r="V10" s="90"/>
      <c r="W10" s="90"/>
      <c r="X10" s="90"/>
      <c r="Y10" s="90"/>
      <c r="Z10" s="90"/>
    </row>
    <row r="11" ht="14.25" customHeight="1" spans="1:26">
      <c r="A11" s="68"/>
      <c r="B11" s="68" t="s">
        <v>66</v>
      </c>
      <c r="C11" s="69"/>
      <c r="D11" s="68"/>
      <c r="E11" s="69"/>
      <c r="F11" s="70"/>
      <c r="G11" s="70"/>
      <c r="H11" s="70"/>
      <c r="I11" s="87"/>
      <c r="J11" s="88"/>
      <c r="K11" s="83"/>
      <c r="L11" s="83"/>
      <c r="M11" s="83"/>
      <c r="N11" s="83"/>
      <c r="O11" s="83"/>
      <c r="P11" s="83"/>
      <c r="Q11" s="83"/>
      <c r="R11" s="83"/>
      <c r="S11" s="83"/>
      <c r="T11" s="83"/>
      <c r="U11" s="83"/>
      <c r="V11" s="83"/>
      <c r="W11" s="83"/>
      <c r="X11" s="83"/>
      <c r="Y11" s="83"/>
      <c r="Z11" s="83"/>
    </row>
    <row r="12" ht="118.8" spans="1:26">
      <c r="A12" s="71" t="str">
        <f>IF(AND(E12=""),"","["&amp;TEXT($B$1,"##")&amp;"-"&amp;TEXT(ROW()-9-COUNTBLANK($E$8:E11)+1,"##")&amp;"]")</f>
        <v>[UC07-2]</v>
      </c>
      <c r="B12" s="72" t="s">
        <v>251</v>
      </c>
      <c r="C12" s="167" t="s">
        <v>180</v>
      </c>
      <c r="D12" s="73" t="s">
        <v>252</v>
      </c>
      <c r="E12" s="167" t="s">
        <v>253</v>
      </c>
      <c r="F12" s="74" t="s">
        <v>21</v>
      </c>
      <c r="G12" s="71" t="s">
        <v>250</v>
      </c>
      <c r="H12" s="74" t="str">
        <f>B3</f>
        <v>Việt</v>
      </c>
      <c r="I12" s="89" t="s">
        <v>254</v>
      </c>
      <c r="J12" s="90"/>
      <c r="K12" s="90"/>
      <c r="L12" s="90"/>
      <c r="M12" s="90"/>
      <c r="N12" s="90"/>
      <c r="O12" s="90"/>
      <c r="P12" s="90"/>
      <c r="Q12" s="90"/>
      <c r="R12" s="90"/>
      <c r="S12" s="90"/>
      <c r="T12" s="90"/>
      <c r="U12" s="90"/>
      <c r="V12" s="90"/>
      <c r="W12" s="90"/>
      <c r="X12" s="90"/>
      <c r="Y12" s="90"/>
      <c r="Z12" s="90"/>
    </row>
    <row r="13" ht="14.25" customHeight="1" spans="2:9">
      <c r="B13" s="78"/>
      <c r="C13" s="79"/>
      <c r="E13" s="4"/>
      <c r="F13" s="80"/>
      <c r="G13" s="81"/>
      <c r="H13" s="81"/>
      <c r="I13" s="93"/>
    </row>
    <row r="14" ht="14.25" customHeight="1" spans="2:9">
      <c r="B14" s="78"/>
      <c r="C14" s="79"/>
      <c r="E14" s="4"/>
      <c r="F14" s="80"/>
      <c r="G14" s="81"/>
      <c r="H14" s="81"/>
      <c r="I14" s="93"/>
    </row>
    <row r="15" ht="14.25" customHeight="1" spans="2:9">
      <c r="B15" s="78"/>
      <c r="C15" s="79"/>
      <c r="E15" s="4"/>
      <c r="F15" s="80"/>
      <c r="G15" s="81"/>
      <c r="H15" s="81"/>
      <c r="I15" s="93"/>
    </row>
    <row r="16" ht="14.25" customHeight="1" spans="2:9">
      <c r="B16" s="78"/>
      <c r="C16" s="79"/>
      <c r="E16" s="4"/>
      <c r="F16" s="80"/>
      <c r="G16" s="81"/>
      <c r="H16" s="81"/>
      <c r="I16" s="93"/>
    </row>
    <row r="17" ht="14.25" customHeight="1" spans="2:9">
      <c r="B17" s="78"/>
      <c r="C17" s="79"/>
      <c r="E17" s="4"/>
      <c r="F17" s="80"/>
      <c r="G17" s="81"/>
      <c r="H17" s="81"/>
      <c r="I17" s="93"/>
    </row>
    <row r="18" ht="14.25" customHeight="1" spans="2:9">
      <c r="B18" s="78"/>
      <c r="C18" s="79"/>
      <c r="E18" s="4"/>
      <c r="F18" s="80"/>
      <c r="G18" s="81"/>
      <c r="H18" s="81"/>
      <c r="I18" s="93"/>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2" etc:filterBottomFollowUsedRange="0">
    <extLst/>
  </autoFilter>
  <mergeCells count="3">
    <mergeCell ref="B1:E1"/>
    <mergeCell ref="B2:E2"/>
    <mergeCell ref="B3:E3"/>
  </mergeCells>
  <dataValidations count="2">
    <dataValidation type="list" allowBlank="1" showErrorMessage="1" sqref="F10 F12">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0"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255</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2</v>
      </c>
      <c r="B5" s="55">
        <f>COUNTIF(F:F,"Fail")</f>
        <v>3</v>
      </c>
      <c r="C5" s="55">
        <f>COUNTIF(F:F,"Untested")</f>
        <v>0</v>
      </c>
      <c r="D5" s="56">
        <f>COUNTIF(F:F,"N/A")</f>
        <v>1</v>
      </c>
      <c r="E5" s="55">
        <f>SUM(A5:D5)</f>
        <v>6</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246</v>
      </c>
      <c r="C9" s="69"/>
      <c r="D9" s="68"/>
      <c r="E9" s="69"/>
      <c r="F9" s="70"/>
      <c r="G9" s="70"/>
      <c r="H9" s="70"/>
      <c r="I9" s="87"/>
      <c r="J9" s="88"/>
      <c r="K9" s="83"/>
      <c r="L9" s="83"/>
      <c r="M9" s="83"/>
      <c r="N9" s="83"/>
      <c r="O9" s="83"/>
      <c r="P9" s="83"/>
      <c r="Q9" s="83"/>
      <c r="R9" s="83"/>
      <c r="S9" s="83"/>
      <c r="T9" s="83"/>
      <c r="U9" s="83"/>
      <c r="V9" s="83"/>
      <c r="W9" s="83"/>
      <c r="X9" s="83"/>
      <c r="Y9" s="83"/>
      <c r="Z9" s="83"/>
    </row>
    <row r="10" ht="118.8" spans="1:26">
      <c r="A10" s="71" t="str">
        <f>IF(AND(E10=""),"","["&amp;TEXT($B$1,"##")&amp;"-"&amp;TEXT(ROW()-9-COUNTBLANK($E$8:E9)+1,"##")&amp;"]")</f>
        <v>[UC08-1]</v>
      </c>
      <c r="B10" s="72" t="s">
        <v>256</v>
      </c>
      <c r="C10" s="167" t="s">
        <v>180</v>
      </c>
      <c r="D10" s="73" t="s">
        <v>257</v>
      </c>
      <c r="E10" s="167" t="s">
        <v>258</v>
      </c>
      <c r="F10" s="74" t="s">
        <v>21</v>
      </c>
      <c r="G10" s="71" t="s">
        <v>250</v>
      </c>
      <c r="H10" s="74" t="str">
        <f>B3</f>
        <v>Việt</v>
      </c>
      <c r="I10" s="89" t="s">
        <v>259</v>
      </c>
      <c r="J10" s="90"/>
      <c r="K10" s="90"/>
      <c r="L10" s="90"/>
      <c r="M10" s="90"/>
      <c r="N10" s="90"/>
      <c r="O10" s="90"/>
      <c r="P10" s="90"/>
      <c r="Q10" s="90"/>
      <c r="R10" s="90"/>
      <c r="S10" s="90"/>
      <c r="T10" s="90"/>
      <c r="U10" s="90"/>
      <c r="V10" s="90"/>
      <c r="W10" s="90"/>
      <c r="X10" s="90"/>
      <c r="Y10" s="90"/>
      <c r="Z10" s="90"/>
    </row>
    <row r="11" ht="14.25" customHeight="1" spans="1:26">
      <c r="A11" s="68"/>
      <c r="B11" s="68" t="s">
        <v>66</v>
      </c>
      <c r="C11" s="69"/>
      <c r="D11" s="68"/>
      <c r="E11" s="69"/>
      <c r="F11" s="70"/>
      <c r="G11" s="70"/>
      <c r="H11" s="70"/>
      <c r="I11" s="87"/>
      <c r="J11" s="88"/>
      <c r="K11" s="83"/>
      <c r="L11" s="83"/>
      <c r="M11" s="83"/>
      <c r="N11" s="83"/>
      <c r="O11" s="83"/>
      <c r="P11" s="83"/>
      <c r="Q11" s="83"/>
      <c r="R11" s="83"/>
      <c r="S11" s="83"/>
      <c r="T11" s="83"/>
      <c r="U11" s="83"/>
      <c r="V11" s="83"/>
      <c r="W11" s="83"/>
      <c r="X11" s="83"/>
      <c r="Y11" s="83"/>
      <c r="Z11" s="83"/>
    </row>
    <row r="12" ht="52.8" spans="1:26">
      <c r="A12" s="71" t="str">
        <f>IF(AND(E12=""),"","["&amp;TEXT($B$1,"##")&amp;"-"&amp;TEXT(ROW()-9-COUNTBLANK($E$8:E11)+1,"##")&amp;"]")</f>
        <v>[UC08-2]</v>
      </c>
      <c r="B12" s="72" t="s">
        <v>260</v>
      </c>
      <c r="C12" s="167" t="s">
        <v>180</v>
      </c>
      <c r="D12" s="73" t="s">
        <v>261</v>
      </c>
      <c r="E12" s="167" t="s">
        <v>262</v>
      </c>
      <c r="F12" s="74" t="s">
        <v>23</v>
      </c>
      <c r="G12" s="71" t="s">
        <v>250</v>
      </c>
      <c r="H12" s="74" t="str">
        <f>B3</f>
        <v>Việt</v>
      </c>
      <c r="I12" s="89" t="s">
        <v>263</v>
      </c>
      <c r="J12" s="90"/>
      <c r="K12" s="90"/>
      <c r="L12" s="90"/>
      <c r="M12" s="90"/>
      <c r="N12" s="90"/>
      <c r="O12" s="90"/>
      <c r="P12" s="90"/>
      <c r="Q12" s="90"/>
      <c r="R12" s="90"/>
      <c r="S12" s="90"/>
      <c r="T12" s="90"/>
      <c r="U12" s="90"/>
      <c r="V12" s="90"/>
      <c r="W12" s="90"/>
      <c r="X12" s="90"/>
      <c r="Y12" s="90"/>
      <c r="Z12" s="90"/>
    </row>
    <row r="13" ht="66" spans="1:26">
      <c r="A13" s="71" t="str">
        <f>IF(AND(E13=""),"","["&amp;TEXT($B$1,"##")&amp;"-"&amp;TEXT(ROW()-9-COUNTBLANK($E$8:E12)+1,"##")&amp;"]")</f>
        <v>[UC08-3]</v>
      </c>
      <c r="B13" s="72" t="s">
        <v>264</v>
      </c>
      <c r="C13" s="167" t="s">
        <v>180</v>
      </c>
      <c r="D13" s="73" t="s">
        <v>265</v>
      </c>
      <c r="E13" s="167" t="s">
        <v>266</v>
      </c>
      <c r="F13" s="74" t="s">
        <v>20</v>
      </c>
      <c r="G13" s="71" t="s">
        <v>250</v>
      </c>
      <c r="H13" s="74" t="str">
        <f>B3</f>
        <v>Việt</v>
      </c>
      <c r="I13" s="89"/>
      <c r="J13" s="90"/>
      <c r="K13" s="90"/>
      <c r="L13" s="90"/>
      <c r="M13" s="90"/>
      <c r="N13" s="90"/>
      <c r="O13" s="90"/>
      <c r="P13" s="90"/>
      <c r="Q13" s="90"/>
      <c r="R13" s="90"/>
      <c r="S13" s="90"/>
      <c r="T13" s="90"/>
      <c r="U13" s="90"/>
      <c r="V13" s="90"/>
      <c r="W13" s="90"/>
      <c r="X13" s="90"/>
      <c r="Y13" s="90"/>
      <c r="Z13" s="90"/>
    </row>
    <row r="14" ht="105.6" spans="1:26">
      <c r="A14" s="71" t="str">
        <f>IF(AND(E14=""),"","["&amp;TEXT($B$1,"##")&amp;"-"&amp;TEXT(ROW()-9-COUNTBLANK($E$8:E13)+1,"##")&amp;"]")</f>
        <v>[UC08-4]</v>
      </c>
      <c r="B14" s="72" t="s">
        <v>267</v>
      </c>
      <c r="C14" s="167" t="s">
        <v>180</v>
      </c>
      <c r="D14" s="73" t="s">
        <v>268</v>
      </c>
      <c r="E14" s="167" t="s">
        <v>269</v>
      </c>
      <c r="F14" s="74" t="s">
        <v>21</v>
      </c>
      <c r="G14" s="71" t="s">
        <v>250</v>
      </c>
      <c r="H14" s="74" t="str">
        <f>B3</f>
        <v>Việt</v>
      </c>
      <c r="I14" s="89" t="s">
        <v>270</v>
      </c>
      <c r="J14" s="90"/>
      <c r="K14" s="90"/>
      <c r="L14" s="90"/>
      <c r="M14" s="90"/>
      <c r="N14" s="90"/>
      <c r="O14" s="90"/>
      <c r="P14" s="90"/>
      <c r="Q14" s="90"/>
      <c r="R14" s="90"/>
      <c r="S14" s="90"/>
      <c r="T14" s="90"/>
      <c r="U14" s="90"/>
      <c r="V14" s="90"/>
      <c r="W14" s="90"/>
      <c r="X14" s="90"/>
      <c r="Y14" s="90"/>
      <c r="Z14" s="90"/>
    </row>
    <row r="15" ht="39.6" spans="1:26">
      <c r="A15" s="71" t="str">
        <f>IF(AND(E15=""),"","["&amp;TEXT($B$1,"##")&amp;"-"&amp;TEXT(ROW()-9-COUNTBLANK($E$8:E14)+1,"##")&amp;"]")</f>
        <v>[UC08-5]</v>
      </c>
      <c r="B15" s="72" t="s">
        <v>271</v>
      </c>
      <c r="C15" s="167" t="s">
        <v>180</v>
      </c>
      <c r="D15" s="73" t="s">
        <v>272</v>
      </c>
      <c r="E15" s="167" t="s">
        <v>269</v>
      </c>
      <c r="F15" s="74" t="s">
        <v>20</v>
      </c>
      <c r="G15" s="71" t="s">
        <v>250</v>
      </c>
      <c r="H15" s="74" t="str">
        <f>B3</f>
        <v>Việt</v>
      </c>
      <c r="I15" s="89"/>
      <c r="J15" s="90"/>
      <c r="K15" s="90"/>
      <c r="L15" s="90"/>
      <c r="M15" s="90"/>
      <c r="N15" s="90"/>
      <c r="O15" s="90"/>
      <c r="P15" s="90"/>
      <c r="Q15" s="90"/>
      <c r="R15" s="90"/>
      <c r="S15" s="90"/>
      <c r="T15" s="90"/>
      <c r="U15" s="90"/>
      <c r="V15" s="90"/>
      <c r="W15" s="90"/>
      <c r="X15" s="90"/>
      <c r="Y15" s="90"/>
      <c r="Z15" s="90"/>
    </row>
    <row r="16" ht="105.6" spans="1:26">
      <c r="A16" s="71" t="str">
        <f>IF(AND(E16=""),"","["&amp;TEXT($B$1,"##")&amp;"-"&amp;TEXT(ROW()-9-COUNTBLANK($E$8:E15)+1,"##")&amp;"]")</f>
        <v>[UC08-6]</v>
      </c>
      <c r="B16" s="72" t="s">
        <v>273</v>
      </c>
      <c r="C16" s="167" t="s">
        <v>180</v>
      </c>
      <c r="D16" s="73" t="s">
        <v>274</v>
      </c>
      <c r="E16" s="167" t="s">
        <v>275</v>
      </c>
      <c r="F16" s="74" t="s">
        <v>21</v>
      </c>
      <c r="G16" s="71" t="s">
        <v>250</v>
      </c>
      <c r="H16" s="74" t="str">
        <f>B3</f>
        <v>Việt</v>
      </c>
      <c r="I16" s="89" t="s">
        <v>276</v>
      </c>
      <c r="J16" s="90"/>
      <c r="K16" s="90"/>
      <c r="L16" s="90"/>
      <c r="M16" s="90"/>
      <c r="N16" s="90"/>
      <c r="O16" s="90"/>
      <c r="P16" s="90"/>
      <c r="Q16" s="90"/>
      <c r="R16" s="90"/>
      <c r="S16" s="90"/>
      <c r="T16" s="90"/>
      <c r="U16" s="90"/>
      <c r="V16" s="90"/>
      <c r="W16" s="90"/>
      <c r="X16" s="90"/>
      <c r="Y16" s="90"/>
      <c r="Z16" s="90"/>
    </row>
    <row r="17" ht="14.25" customHeight="1" spans="2:9">
      <c r="B17" s="78"/>
      <c r="C17" s="79"/>
      <c r="E17" s="4"/>
      <c r="F17" s="80"/>
      <c r="G17" s="81"/>
      <c r="H17" s="81"/>
      <c r="I17" s="93"/>
    </row>
    <row r="18" ht="14.25" customHeight="1" spans="2:9">
      <c r="B18" s="78"/>
      <c r="C18" s="79"/>
      <c r="E18" s="4"/>
      <c r="F18" s="80"/>
      <c r="G18" s="81"/>
      <c r="H18" s="81"/>
      <c r="I18" s="93"/>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6" etc:filterBottomFollowUsedRange="0">
    <extLst/>
  </autoFilter>
  <mergeCells count="3">
    <mergeCell ref="B1:E1"/>
    <mergeCell ref="B2:E2"/>
    <mergeCell ref="B3:E3"/>
  </mergeCells>
  <dataValidations count="2">
    <dataValidation type="list" allowBlank="1" showErrorMessage="1" sqref="F10 F12:F16">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0"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277</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4</v>
      </c>
      <c r="B5" s="55">
        <f>COUNTIF(F:F,"Fail")</f>
        <v>2</v>
      </c>
      <c r="C5" s="55">
        <f>COUNTIF(F:F,"Untested")</f>
        <v>0</v>
      </c>
      <c r="D5" s="56">
        <f>COUNTIF(F:F,"N/A")</f>
        <v>0</v>
      </c>
      <c r="E5" s="55">
        <f>SUM(A5:D5)</f>
        <v>6</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246</v>
      </c>
      <c r="C9" s="69"/>
      <c r="D9" s="68"/>
      <c r="E9" s="69"/>
      <c r="F9" s="70"/>
      <c r="G9" s="70"/>
      <c r="H9" s="70"/>
      <c r="I9" s="87"/>
      <c r="J9" s="88"/>
      <c r="K9" s="83"/>
      <c r="L9" s="83"/>
      <c r="M9" s="83"/>
      <c r="N9" s="83"/>
      <c r="O9" s="83"/>
      <c r="P9" s="83"/>
      <c r="Q9" s="83"/>
      <c r="R9" s="83"/>
      <c r="S9" s="83"/>
      <c r="T9" s="83"/>
      <c r="U9" s="83"/>
      <c r="V9" s="83"/>
      <c r="W9" s="83"/>
      <c r="X9" s="83"/>
      <c r="Y9" s="83"/>
      <c r="Z9" s="83"/>
    </row>
    <row r="10" ht="52.8" spans="1:26">
      <c r="A10" s="71" t="str">
        <f>IF(AND(E10=""),"","["&amp;TEXT($B$1,"##")&amp;"-"&amp;TEXT(ROW()-9-COUNTBLANK($E$8:E9)+1,"##")&amp;"]")</f>
        <v>[UC09-1]</v>
      </c>
      <c r="B10" s="72" t="s">
        <v>278</v>
      </c>
      <c r="C10" s="167" t="s">
        <v>180</v>
      </c>
      <c r="D10" s="73" t="s">
        <v>279</v>
      </c>
      <c r="E10" s="167" t="s">
        <v>280</v>
      </c>
      <c r="F10" s="74" t="s">
        <v>20</v>
      </c>
      <c r="G10" s="71" t="s">
        <v>250</v>
      </c>
      <c r="H10" s="74" t="str">
        <f>B3</f>
        <v>Việt</v>
      </c>
      <c r="I10" s="89"/>
      <c r="J10" s="90"/>
      <c r="K10" s="90"/>
      <c r="L10" s="90"/>
      <c r="M10" s="90"/>
      <c r="N10" s="90"/>
      <c r="O10" s="90"/>
      <c r="P10" s="90"/>
      <c r="Q10" s="90"/>
      <c r="R10" s="90"/>
      <c r="S10" s="90"/>
      <c r="T10" s="90"/>
      <c r="U10" s="90"/>
      <c r="V10" s="90"/>
      <c r="W10" s="90"/>
      <c r="X10" s="90"/>
      <c r="Y10" s="90"/>
      <c r="Z10" s="90"/>
    </row>
    <row r="11" ht="66" spans="1:26">
      <c r="A11" s="71" t="str">
        <f>IF(AND(E11=""),"","["&amp;TEXT($B$1,"##")&amp;"-"&amp;TEXT(ROW()-9-COUNTBLANK($E$8:E10)+1,"##")&amp;"]")</f>
        <v>[UC09-2]</v>
      </c>
      <c r="B11" s="72" t="s">
        <v>281</v>
      </c>
      <c r="C11" s="167" t="s">
        <v>180</v>
      </c>
      <c r="D11" s="73" t="s">
        <v>282</v>
      </c>
      <c r="E11" s="167" t="s">
        <v>283</v>
      </c>
      <c r="F11" s="74" t="s">
        <v>20</v>
      </c>
      <c r="G11" s="71" t="s">
        <v>250</v>
      </c>
      <c r="H11" s="74" t="str">
        <f>B3</f>
        <v>Việt</v>
      </c>
      <c r="I11" s="89"/>
      <c r="J11" s="90"/>
      <c r="K11" s="90"/>
      <c r="L11" s="90"/>
      <c r="M11" s="90"/>
      <c r="N11" s="90"/>
      <c r="O11" s="90"/>
      <c r="P11" s="90"/>
      <c r="Q11" s="90"/>
      <c r="R11" s="90"/>
      <c r="S11" s="90"/>
      <c r="T11" s="90"/>
      <c r="U11" s="90"/>
      <c r="V11" s="90"/>
      <c r="W11" s="90"/>
      <c r="X11" s="90"/>
      <c r="Y11" s="90"/>
      <c r="Z11" s="90"/>
    </row>
    <row r="12" ht="66" spans="1:26">
      <c r="A12" s="71" t="str">
        <f>IF(AND(E12=""),"","["&amp;TEXT($B$1,"##")&amp;"-"&amp;TEXT(ROW()-9-COUNTBLANK($E$8:E11)+1,"##")&amp;"]")</f>
        <v>[UC09-3]</v>
      </c>
      <c r="B12" s="72" t="s">
        <v>284</v>
      </c>
      <c r="C12" s="167" t="s">
        <v>180</v>
      </c>
      <c r="D12" s="73" t="s">
        <v>285</v>
      </c>
      <c r="E12" s="167" t="s">
        <v>144</v>
      </c>
      <c r="F12" s="74" t="s">
        <v>20</v>
      </c>
      <c r="G12" s="71" t="s">
        <v>250</v>
      </c>
      <c r="H12" s="74" t="str">
        <f>B3</f>
        <v>Việt</v>
      </c>
      <c r="I12" s="89"/>
      <c r="J12" s="90"/>
      <c r="K12" s="90"/>
      <c r="L12" s="90"/>
      <c r="M12" s="90"/>
      <c r="N12" s="90"/>
      <c r="O12" s="90"/>
      <c r="P12" s="90"/>
      <c r="Q12" s="90"/>
      <c r="R12" s="90"/>
      <c r="S12" s="90"/>
      <c r="T12" s="90"/>
      <c r="U12" s="90"/>
      <c r="V12" s="90"/>
      <c r="W12" s="90"/>
      <c r="X12" s="90"/>
      <c r="Y12" s="90"/>
      <c r="Z12" s="90"/>
    </row>
    <row r="13" ht="118.8" spans="1:26">
      <c r="A13" s="71" t="str">
        <f>IF(AND(E13=""),"","["&amp;TEXT($B$1,"##")&amp;"-"&amp;TEXT(ROW()-9-COUNTBLANK($E$8:E12)+1,"##")&amp;"]")</f>
        <v>[UC09-4]</v>
      </c>
      <c r="B13" s="72" t="s">
        <v>286</v>
      </c>
      <c r="C13" s="167" t="s">
        <v>180</v>
      </c>
      <c r="D13" s="73" t="s">
        <v>287</v>
      </c>
      <c r="E13" s="167" t="s">
        <v>144</v>
      </c>
      <c r="F13" s="74" t="s">
        <v>21</v>
      </c>
      <c r="G13" s="71" t="s">
        <v>250</v>
      </c>
      <c r="H13" s="74" t="str">
        <f>B3</f>
        <v>Việt</v>
      </c>
      <c r="I13" s="89" t="s">
        <v>288</v>
      </c>
      <c r="J13" s="90"/>
      <c r="K13" s="90"/>
      <c r="L13" s="90"/>
      <c r="M13" s="90"/>
      <c r="N13" s="90"/>
      <c r="O13" s="90"/>
      <c r="P13" s="90"/>
      <c r="Q13" s="90"/>
      <c r="R13" s="90"/>
      <c r="S13" s="90"/>
      <c r="T13" s="90"/>
      <c r="U13" s="90"/>
      <c r="V13" s="90"/>
      <c r="W13" s="90"/>
      <c r="X13" s="90"/>
      <c r="Y13" s="90"/>
      <c r="Z13" s="90"/>
    </row>
    <row r="14" ht="14.25" customHeight="1" spans="1:26">
      <c r="A14" s="68"/>
      <c r="B14" s="68" t="s">
        <v>66</v>
      </c>
      <c r="C14" s="69"/>
      <c r="D14" s="68"/>
      <c r="E14" s="69"/>
      <c r="F14" s="70"/>
      <c r="G14" s="70"/>
      <c r="H14" s="70"/>
      <c r="I14" s="87"/>
      <c r="J14" s="88"/>
      <c r="K14" s="83"/>
      <c r="L14" s="83"/>
      <c r="M14" s="83"/>
      <c r="N14" s="83"/>
      <c r="O14" s="83"/>
      <c r="P14" s="83"/>
      <c r="Q14" s="83"/>
      <c r="R14" s="83"/>
      <c r="S14" s="83"/>
      <c r="T14" s="83"/>
      <c r="U14" s="83"/>
      <c r="V14" s="83"/>
      <c r="W14" s="83"/>
      <c r="X14" s="83"/>
      <c r="Y14" s="83"/>
      <c r="Z14" s="83"/>
    </row>
    <row r="15" ht="79.2" spans="1:26">
      <c r="A15" s="71" t="str">
        <f>IF(AND(E15=""),"","["&amp;TEXT($B$1,"##")&amp;"-"&amp;TEXT(ROW()-9-COUNTBLANK($E$8:E14)+1,"##")&amp;"]")</f>
        <v>[UC09-5]</v>
      </c>
      <c r="B15" s="72" t="s">
        <v>289</v>
      </c>
      <c r="C15" s="167" t="s">
        <v>180</v>
      </c>
      <c r="D15" s="73" t="s">
        <v>290</v>
      </c>
      <c r="E15" s="167" t="s">
        <v>291</v>
      </c>
      <c r="F15" s="74" t="s">
        <v>20</v>
      </c>
      <c r="G15" s="71" t="s">
        <v>250</v>
      </c>
      <c r="H15" s="74" t="str">
        <f>B3</f>
        <v>Việt</v>
      </c>
      <c r="I15" s="89"/>
      <c r="J15" s="90"/>
      <c r="K15" s="90"/>
      <c r="L15" s="90"/>
      <c r="M15" s="90"/>
      <c r="N15" s="90"/>
      <c r="O15" s="90"/>
      <c r="P15" s="90"/>
      <c r="Q15" s="90"/>
      <c r="R15" s="90"/>
      <c r="S15" s="90"/>
      <c r="T15" s="90"/>
      <c r="U15" s="90"/>
      <c r="V15" s="90"/>
      <c r="W15" s="90"/>
      <c r="X15" s="90"/>
      <c r="Y15" s="90"/>
      <c r="Z15" s="90"/>
    </row>
    <row r="16" ht="132" spans="1:26">
      <c r="A16" s="71" t="str">
        <f>IF(AND(E16=""),"","["&amp;TEXT($B$1,"##")&amp;"-"&amp;TEXT(ROW()-9-COUNTBLANK($E$8:E15)+1,"##")&amp;"]")</f>
        <v>[UC09-6]</v>
      </c>
      <c r="B16" s="72" t="s">
        <v>146</v>
      </c>
      <c r="C16" s="167" t="s">
        <v>180</v>
      </c>
      <c r="D16" s="73" t="s">
        <v>292</v>
      </c>
      <c r="E16" s="167" t="s">
        <v>293</v>
      </c>
      <c r="F16" s="74" t="s">
        <v>21</v>
      </c>
      <c r="G16" s="71" t="s">
        <v>250</v>
      </c>
      <c r="H16" s="74" t="str">
        <f>B3</f>
        <v>Việt</v>
      </c>
      <c r="I16" s="89" t="s">
        <v>294</v>
      </c>
      <c r="J16" s="90"/>
      <c r="K16" s="90"/>
      <c r="L16" s="90"/>
      <c r="M16" s="90"/>
      <c r="N16" s="90"/>
      <c r="O16" s="90"/>
      <c r="P16" s="90"/>
      <c r="Q16" s="90"/>
      <c r="R16" s="90"/>
      <c r="S16" s="90"/>
      <c r="T16" s="90"/>
      <c r="U16" s="90"/>
      <c r="V16" s="90"/>
      <c r="W16" s="90"/>
      <c r="X16" s="90"/>
      <c r="Y16" s="90"/>
      <c r="Z16" s="90"/>
    </row>
    <row r="17" ht="14.25" customHeight="1" spans="2:9">
      <c r="B17" s="78"/>
      <c r="C17" s="79"/>
      <c r="E17" s="4"/>
      <c r="F17" s="80"/>
      <c r="G17" s="81"/>
      <c r="H17" s="81"/>
      <c r="I17" s="93"/>
    </row>
    <row r="18" ht="14.25" customHeight="1" spans="2:9">
      <c r="B18" s="78"/>
      <c r="C18" s="79"/>
      <c r="E18" s="4"/>
      <c r="F18" s="80"/>
      <c r="G18" s="81"/>
      <c r="H18" s="81"/>
      <c r="I18" s="93"/>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6" etc:filterBottomFollowUsedRange="0">
    <extLst/>
  </autoFilter>
  <mergeCells count="3">
    <mergeCell ref="B1:E1"/>
    <mergeCell ref="B2:E2"/>
    <mergeCell ref="B3:E3"/>
  </mergeCells>
  <dataValidations count="2">
    <dataValidation type="list" allowBlank="1" showErrorMessage="1" sqref="F10:F13 F15:F16">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D965"/>
  </sheetPr>
  <dimension ref="A1:Z1000"/>
  <sheetViews>
    <sheetView workbookViewId="0">
      <pane ySplit="9" topLeftCell="A13" activePane="bottomLeft" state="frozen"/>
      <selection/>
      <selection pane="bottomLeft" activeCell="B11" sqref="B11"/>
    </sheetView>
  </sheetViews>
  <sheetFormatPr defaultColWidth="14.4259259259259" defaultRowHeight="15" customHeight="1"/>
  <cols>
    <col min="1" max="1" width="21.4259259259259" customWidth="1"/>
    <col min="2" max="2" width="29.8611111111111" customWidth="1"/>
    <col min="3" max="3" width="23.712962962963" customWidth="1"/>
    <col min="4" max="4" width="42.5740740740741" customWidth="1"/>
    <col min="5" max="5" width="57.4259259259259" customWidth="1"/>
    <col min="6" max="6" width="13.712962962963" customWidth="1"/>
    <col min="7" max="8" width="17.1388888888889" customWidth="1"/>
    <col min="9" max="9" width="17.8611111111111" customWidth="1"/>
    <col min="10" max="10" width="66.5740740740741" customWidth="1"/>
    <col min="11" max="26" width="8.71296296296296" customWidth="1"/>
  </cols>
  <sheetData>
    <row r="1" ht="14.25" customHeight="1" spans="1:26">
      <c r="A1" s="38" t="s">
        <v>39</v>
      </c>
      <c r="B1" s="39" t="s">
        <v>295</v>
      </c>
      <c r="C1" s="40"/>
      <c r="D1" s="40"/>
      <c r="E1" s="41"/>
      <c r="F1" s="42"/>
      <c r="G1" s="43"/>
      <c r="H1" s="43"/>
      <c r="I1" s="82"/>
      <c r="J1" s="83"/>
      <c r="K1" s="83"/>
      <c r="L1" s="83"/>
      <c r="M1" s="83"/>
      <c r="N1" s="83"/>
      <c r="O1" s="83"/>
      <c r="P1" s="83"/>
      <c r="Q1" s="83"/>
      <c r="R1" s="83"/>
      <c r="S1" s="83"/>
      <c r="T1" s="83"/>
      <c r="U1" s="83"/>
      <c r="V1" s="83"/>
      <c r="W1" s="83"/>
      <c r="X1" s="83"/>
      <c r="Y1" s="83"/>
      <c r="Z1" s="83"/>
    </row>
    <row r="2" ht="14.25" customHeight="1" spans="1:26">
      <c r="A2" s="44" t="s">
        <v>41</v>
      </c>
      <c r="B2" s="45" t="s">
        <v>42</v>
      </c>
      <c r="C2" s="40"/>
      <c r="D2" s="40"/>
      <c r="E2" s="46"/>
      <c r="F2" s="47"/>
      <c r="G2" s="48"/>
      <c r="H2" s="48"/>
      <c r="I2" s="82"/>
      <c r="J2" s="83"/>
      <c r="K2" s="83"/>
      <c r="L2" s="83"/>
      <c r="M2" s="83"/>
      <c r="N2" s="83"/>
      <c r="O2" s="83"/>
      <c r="P2" s="83"/>
      <c r="Q2" s="83"/>
      <c r="R2" s="83"/>
      <c r="S2" s="83"/>
      <c r="T2" s="83"/>
      <c r="U2" s="83"/>
      <c r="V2" s="83"/>
      <c r="W2" s="83"/>
      <c r="X2" s="83"/>
      <c r="Y2" s="83"/>
      <c r="Z2" s="83"/>
    </row>
    <row r="3" ht="14.25" customHeight="1" spans="1:26">
      <c r="A3" s="38" t="s">
        <v>43</v>
      </c>
      <c r="B3" s="49" t="s">
        <v>4</v>
      </c>
      <c r="C3" s="40"/>
      <c r="D3" s="40"/>
      <c r="E3" s="46"/>
      <c r="F3" s="47"/>
      <c r="G3" s="48"/>
      <c r="H3" s="48"/>
      <c r="I3" s="82"/>
      <c r="J3" s="84"/>
      <c r="K3" s="83"/>
      <c r="L3" s="83"/>
      <c r="M3" s="83"/>
      <c r="N3" s="83"/>
      <c r="O3" s="83"/>
      <c r="P3" s="83"/>
      <c r="Q3" s="83"/>
      <c r="R3" s="83"/>
      <c r="S3" s="83"/>
      <c r="T3" s="83"/>
      <c r="U3" s="83"/>
      <c r="V3" s="83"/>
      <c r="W3" s="83"/>
      <c r="X3" s="83"/>
      <c r="Y3" s="83"/>
      <c r="Z3" s="83"/>
    </row>
    <row r="4" ht="14.25" customHeight="1" spans="1:26">
      <c r="A4" s="50" t="s">
        <v>20</v>
      </c>
      <c r="B4" s="51" t="s">
        <v>21</v>
      </c>
      <c r="C4" s="51" t="s">
        <v>22</v>
      </c>
      <c r="D4" s="52" t="s">
        <v>23</v>
      </c>
      <c r="E4" s="51" t="s">
        <v>44</v>
      </c>
      <c r="F4" s="53"/>
      <c r="G4" s="53"/>
      <c r="H4" s="53"/>
      <c r="I4" s="83"/>
      <c r="J4" s="83"/>
      <c r="K4" s="83"/>
      <c r="L4" s="83"/>
      <c r="M4" s="83"/>
      <c r="N4" s="83"/>
      <c r="O4" s="83"/>
      <c r="P4" s="83"/>
      <c r="Q4" s="83"/>
      <c r="R4" s="83"/>
      <c r="S4" s="83"/>
      <c r="T4" s="83"/>
      <c r="U4" s="83"/>
      <c r="V4" s="83"/>
      <c r="W4" s="83"/>
      <c r="X4" s="83"/>
      <c r="Y4" s="83"/>
      <c r="Z4" s="83"/>
    </row>
    <row r="5" ht="14.25" customHeight="1" spans="1:26">
      <c r="A5" s="54">
        <f>COUNTIF(F:F,"Pass")</f>
        <v>4</v>
      </c>
      <c r="B5" s="55">
        <f>COUNTIF(F:F,"Fail")</f>
        <v>1</v>
      </c>
      <c r="C5" s="55">
        <f>COUNTIF(F:F,"Untested")</f>
        <v>0</v>
      </c>
      <c r="D5" s="56">
        <f>COUNTIF(F:F,"N/A")</f>
        <v>0</v>
      </c>
      <c r="E5" s="55">
        <f>SUM(A5:D5)</f>
        <v>5</v>
      </c>
      <c r="F5" s="53"/>
      <c r="G5" s="53"/>
      <c r="H5" s="53"/>
      <c r="I5" s="83"/>
      <c r="J5" s="83"/>
      <c r="K5" s="83"/>
      <c r="L5" s="83"/>
      <c r="M5" s="83"/>
      <c r="N5" s="83"/>
      <c r="O5" s="83"/>
      <c r="P5" s="83"/>
      <c r="Q5" s="83"/>
      <c r="R5" s="83"/>
      <c r="S5" s="83"/>
      <c r="T5" s="83"/>
      <c r="U5" s="83"/>
      <c r="V5" s="83"/>
      <c r="W5" s="83"/>
      <c r="X5" s="83"/>
      <c r="Y5" s="83"/>
      <c r="Z5" s="83"/>
    </row>
    <row r="6" ht="14.25" customHeight="1" spans="1:26">
      <c r="A6" s="57" t="s">
        <v>37</v>
      </c>
      <c r="B6" s="58" t="s">
        <v>37</v>
      </c>
      <c r="C6" s="58" t="s">
        <v>37</v>
      </c>
      <c r="D6" s="59" t="s">
        <v>37</v>
      </c>
      <c r="E6" s="58"/>
      <c r="F6" s="53"/>
      <c r="G6" s="53"/>
      <c r="H6" s="53"/>
      <c r="I6" s="83"/>
      <c r="J6" s="83"/>
      <c r="K6" s="83"/>
      <c r="L6" s="83"/>
      <c r="M6" s="83"/>
      <c r="N6" s="83"/>
      <c r="O6" s="83"/>
      <c r="P6" s="83"/>
      <c r="Q6" s="83"/>
      <c r="R6" s="83"/>
      <c r="S6" s="83"/>
      <c r="T6" s="83"/>
      <c r="U6" s="83"/>
      <c r="V6" s="83"/>
      <c r="W6" s="83"/>
      <c r="X6" s="83"/>
      <c r="Y6" s="83"/>
      <c r="Z6" s="83"/>
    </row>
    <row r="7" ht="14.25" customHeight="1" spans="1:26">
      <c r="A7" s="60"/>
      <c r="B7" s="61"/>
      <c r="C7" s="62"/>
      <c r="D7" s="63"/>
      <c r="E7" s="62"/>
      <c r="F7" s="64"/>
      <c r="G7" s="64"/>
      <c r="H7" s="65"/>
      <c r="I7" s="83"/>
      <c r="J7" s="83"/>
      <c r="K7" s="83"/>
      <c r="L7" s="83"/>
      <c r="M7" s="83"/>
      <c r="N7" s="83"/>
      <c r="O7" s="83"/>
      <c r="P7" s="83"/>
      <c r="Q7" s="83"/>
      <c r="R7" s="83"/>
      <c r="S7" s="83"/>
      <c r="T7" s="83"/>
      <c r="U7" s="83"/>
      <c r="V7" s="83"/>
      <c r="W7" s="83"/>
      <c r="X7" s="83"/>
      <c r="Y7" s="83"/>
      <c r="Z7" s="83"/>
    </row>
    <row r="8" ht="14.25" customHeight="1" spans="1:26">
      <c r="A8" s="66" t="s">
        <v>45</v>
      </c>
      <c r="B8" s="66" t="s">
        <v>46</v>
      </c>
      <c r="C8" s="66" t="s">
        <v>47</v>
      </c>
      <c r="D8" s="66" t="s">
        <v>48</v>
      </c>
      <c r="E8" s="66" t="s">
        <v>49</v>
      </c>
      <c r="F8" s="67" t="s">
        <v>50</v>
      </c>
      <c r="G8" s="67" t="s">
        <v>51</v>
      </c>
      <c r="H8" s="67" t="s">
        <v>43</v>
      </c>
      <c r="I8" s="85" t="s">
        <v>15</v>
      </c>
      <c r="J8" s="86"/>
      <c r="K8" s="83"/>
      <c r="L8" s="83"/>
      <c r="M8" s="83"/>
      <c r="N8" s="83"/>
      <c r="O8" s="83"/>
      <c r="P8" s="83"/>
      <c r="Q8" s="83"/>
      <c r="R8" s="83"/>
      <c r="S8" s="83"/>
      <c r="T8" s="83"/>
      <c r="U8" s="83"/>
      <c r="V8" s="83"/>
      <c r="W8" s="83"/>
      <c r="X8" s="83"/>
      <c r="Y8" s="83"/>
      <c r="Z8" s="83"/>
    </row>
    <row r="9" ht="14.25" customHeight="1" spans="1:26">
      <c r="A9" s="68"/>
      <c r="B9" s="68" t="s">
        <v>246</v>
      </c>
      <c r="C9" s="69"/>
      <c r="D9" s="68"/>
      <c r="E9" s="69"/>
      <c r="F9" s="70"/>
      <c r="G9" s="70"/>
      <c r="H9" s="70"/>
      <c r="I9" s="87"/>
      <c r="J9" s="88"/>
      <c r="K9" s="83"/>
      <c r="L9" s="83"/>
      <c r="M9" s="83"/>
      <c r="N9" s="83"/>
      <c r="O9" s="83"/>
      <c r="P9" s="83"/>
      <c r="Q9" s="83"/>
      <c r="R9" s="83"/>
      <c r="S9" s="83"/>
      <c r="T9" s="83"/>
      <c r="U9" s="83"/>
      <c r="V9" s="83"/>
      <c r="W9" s="83"/>
      <c r="X9" s="83"/>
      <c r="Y9" s="83"/>
      <c r="Z9" s="83"/>
    </row>
    <row r="10" ht="52.8" spans="1:26">
      <c r="A10" s="71" t="str">
        <f>IF(AND(E10=""),"","["&amp;TEXT($B$1,"##")&amp;"-"&amp;TEXT(ROW()-9-COUNTBLANK($E$8:E9)+1,"##")&amp;"]")</f>
        <v>[UC10-1]</v>
      </c>
      <c r="B10" s="72" t="s">
        <v>296</v>
      </c>
      <c r="C10" s="167" t="s">
        <v>180</v>
      </c>
      <c r="D10" s="73" t="s">
        <v>297</v>
      </c>
      <c r="E10" s="167" t="s">
        <v>298</v>
      </c>
      <c r="F10" s="74" t="s">
        <v>20</v>
      </c>
      <c r="G10" s="71" t="s">
        <v>250</v>
      </c>
      <c r="H10" s="74" t="str">
        <f>B3</f>
        <v>Việt</v>
      </c>
      <c r="I10" s="89"/>
      <c r="J10" s="90"/>
      <c r="K10" s="90"/>
      <c r="L10" s="90"/>
      <c r="M10" s="90"/>
      <c r="N10" s="90"/>
      <c r="O10" s="90"/>
      <c r="P10" s="90"/>
      <c r="Q10" s="90"/>
      <c r="R10" s="90"/>
      <c r="S10" s="90"/>
      <c r="T10" s="90"/>
      <c r="U10" s="90"/>
      <c r="V10" s="90"/>
      <c r="W10" s="90"/>
      <c r="X10" s="90"/>
      <c r="Y10" s="90"/>
      <c r="Z10" s="90"/>
    </row>
    <row r="11" ht="52.8" spans="1:26">
      <c r="A11" s="71" t="str">
        <f>IF(AND(E11=""),"","["&amp;TEXT($B$1,"##")&amp;"-"&amp;TEXT(ROW()-9-COUNTBLANK($E$8:E10)+1,"##")&amp;"]")</f>
        <v>[UC10-2]</v>
      </c>
      <c r="B11" s="72" t="s">
        <v>299</v>
      </c>
      <c r="C11" s="167" t="s">
        <v>180</v>
      </c>
      <c r="D11" s="73" t="s">
        <v>300</v>
      </c>
      <c r="E11" s="167" t="s">
        <v>283</v>
      </c>
      <c r="F11" s="74" t="s">
        <v>20</v>
      </c>
      <c r="G11" s="71" t="s">
        <v>250</v>
      </c>
      <c r="H11" s="74" t="str">
        <f>B3</f>
        <v>Việt</v>
      </c>
      <c r="I11" s="89"/>
      <c r="J11" s="90"/>
      <c r="K11" s="90"/>
      <c r="L11" s="90"/>
      <c r="M11" s="90"/>
      <c r="N11" s="90"/>
      <c r="O11" s="90"/>
      <c r="P11" s="90"/>
      <c r="Q11" s="90"/>
      <c r="R11" s="90"/>
      <c r="S11" s="90"/>
      <c r="T11" s="90"/>
      <c r="U11" s="90"/>
      <c r="V11" s="90"/>
      <c r="W11" s="90"/>
      <c r="X11" s="90"/>
      <c r="Y11" s="90"/>
      <c r="Z11" s="90"/>
    </row>
    <row r="12" ht="52.8" spans="1:26">
      <c r="A12" s="75" t="str">
        <f>IF(AND(E12=""),"","["&amp;TEXT($B$1,"##")&amp;"-"&amp;TEXT(ROW()-9-COUNTBLANK($E$8:E11)+1,"##")&amp;"]")</f>
        <v>[UC10-3]</v>
      </c>
      <c r="B12" s="76" t="s">
        <v>235</v>
      </c>
      <c r="C12" s="168" t="s">
        <v>180</v>
      </c>
      <c r="D12" s="73" t="s">
        <v>301</v>
      </c>
      <c r="E12" s="168" t="s">
        <v>144</v>
      </c>
      <c r="F12" s="77" t="s">
        <v>20</v>
      </c>
      <c r="G12" s="71" t="s">
        <v>250</v>
      </c>
      <c r="H12" s="77" t="str">
        <f>B3</f>
        <v>Việt</v>
      </c>
      <c r="I12" s="91"/>
      <c r="J12" s="92"/>
      <c r="K12" s="92"/>
      <c r="L12" s="92"/>
      <c r="M12" s="92"/>
      <c r="N12" s="92"/>
      <c r="O12" s="92"/>
      <c r="P12" s="92"/>
      <c r="Q12" s="92"/>
      <c r="R12" s="92"/>
      <c r="S12" s="92"/>
      <c r="T12" s="92"/>
      <c r="U12" s="92"/>
      <c r="V12" s="92"/>
      <c r="W12" s="92"/>
      <c r="X12" s="92"/>
      <c r="Y12" s="92"/>
      <c r="Z12" s="92"/>
    </row>
    <row r="13" ht="14.25" customHeight="1" spans="1:26">
      <c r="A13" s="68"/>
      <c r="B13" s="68" t="s">
        <v>66</v>
      </c>
      <c r="C13" s="69"/>
      <c r="D13" s="68"/>
      <c r="E13" s="69"/>
      <c r="F13" s="70"/>
      <c r="G13" s="70"/>
      <c r="H13" s="70"/>
      <c r="I13" s="87"/>
      <c r="J13" s="88"/>
      <c r="K13" s="83"/>
      <c r="L13" s="83"/>
      <c r="M13" s="83"/>
      <c r="N13" s="83"/>
      <c r="O13" s="83"/>
      <c r="P13" s="83"/>
      <c r="Q13" s="83"/>
      <c r="R13" s="83"/>
      <c r="S13" s="83"/>
      <c r="T13" s="83"/>
      <c r="U13" s="83"/>
      <c r="V13" s="83"/>
      <c r="W13" s="83"/>
      <c r="X13" s="83"/>
      <c r="Y13" s="83"/>
      <c r="Z13" s="83"/>
    </row>
    <row r="14" ht="132" spans="1:26">
      <c r="A14" s="71" t="str">
        <f>IF(AND(E14=""),"","["&amp;TEXT($B$1,"##")&amp;"-"&amp;TEXT(ROW()-9-COUNTBLANK($E$8:E13)+1,"##")&amp;"]")</f>
        <v>[UC10-4]</v>
      </c>
      <c r="B14" s="72" t="s">
        <v>146</v>
      </c>
      <c r="C14" s="167" t="s">
        <v>180</v>
      </c>
      <c r="D14" s="73" t="s">
        <v>302</v>
      </c>
      <c r="E14" s="167" t="s">
        <v>303</v>
      </c>
      <c r="F14" s="74" t="s">
        <v>21</v>
      </c>
      <c r="G14" s="71" t="s">
        <v>250</v>
      </c>
      <c r="H14" s="74" t="str">
        <f>B3</f>
        <v>Việt</v>
      </c>
      <c r="I14" s="89" t="s">
        <v>304</v>
      </c>
      <c r="J14" s="90"/>
      <c r="K14" s="90"/>
      <c r="L14" s="90"/>
      <c r="M14" s="90"/>
      <c r="N14" s="90"/>
      <c r="O14" s="90"/>
      <c r="P14" s="90"/>
      <c r="Q14" s="90"/>
      <c r="R14" s="90"/>
      <c r="S14" s="90"/>
      <c r="T14" s="90"/>
      <c r="U14" s="90"/>
      <c r="V14" s="90"/>
      <c r="W14" s="90"/>
      <c r="X14" s="90"/>
      <c r="Y14" s="90"/>
      <c r="Z14" s="90"/>
    </row>
    <row r="15" ht="52.8" spans="1:26">
      <c r="A15" s="71" t="str">
        <f>IF(AND(E15=""),"","["&amp;TEXT($B$1,"##")&amp;"-"&amp;TEXT(ROW()-9-COUNTBLANK($E$8:E14)+1,"##")&amp;"]")</f>
        <v>[UC10-5]</v>
      </c>
      <c r="B15" s="72" t="s">
        <v>305</v>
      </c>
      <c r="C15" s="167" t="s">
        <v>180</v>
      </c>
      <c r="D15" s="73" t="s">
        <v>306</v>
      </c>
      <c r="E15" s="167" t="s">
        <v>307</v>
      </c>
      <c r="F15" s="74" t="s">
        <v>20</v>
      </c>
      <c r="G15" s="71" t="s">
        <v>250</v>
      </c>
      <c r="H15" s="74" t="str">
        <f>B3</f>
        <v>Việt</v>
      </c>
      <c r="I15" s="89"/>
      <c r="J15" s="90"/>
      <c r="K15" s="90"/>
      <c r="L15" s="90"/>
      <c r="M15" s="90"/>
      <c r="N15" s="90"/>
      <c r="O15" s="90"/>
      <c r="P15" s="90"/>
      <c r="Q15" s="90"/>
      <c r="R15" s="90"/>
      <c r="S15" s="90"/>
      <c r="T15" s="90"/>
      <c r="U15" s="90"/>
      <c r="V15" s="90"/>
      <c r="W15" s="90"/>
      <c r="X15" s="90"/>
      <c r="Y15" s="90"/>
      <c r="Z15" s="90"/>
    </row>
    <row r="16" ht="14.25" customHeight="1" spans="2:9">
      <c r="B16" s="78"/>
      <c r="C16" s="79"/>
      <c r="E16" s="4"/>
      <c r="F16" s="80"/>
      <c r="G16" s="81"/>
      <c r="H16" s="81"/>
      <c r="I16" s="93"/>
    </row>
    <row r="17" ht="14.25" customHeight="1" spans="2:9">
      <c r="B17" s="78"/>
      <c r="C17" s="79"/>
      <c r="E17" s="4"/>
      <c r="F17" s="80"/>
      <c r="G17" s="81"/>
      <c r="H17" s="81"/>
      <c r="I17" s="93"/>
    </row>
    <row r="18" ht="14.25" customHeight="1" spans="2:9">
      <c r="B18" s="78"/>
      <c r="C18" s="79"/>
      <c r="E18" s="4"/>
      <c r="F18" s="80"/>
      <c r="G18" s="81"/>
      <c r="H18" s="81"/>
      <c r="I18" s="93"/>
    </row>
    <row r="19" ht="14.25" customHeight="1" spans="2:9">
      <c r="B19" s="78"/>
      <c r="C19" s="79"/>
      <c r="E19" s="4"/>
      <c r="F19" s="80"/>
      <c r="G19" s="81"/>
      <c r="H19" s="81"/>
      <c r="I19" s="93"/>
    </row>
    <row r="20" ht="14.25" customHeight="1" spans="2:9">
      <c r="B20" s="78"/>
      <c r="C20" s="79"/>
      <c r="E20" s="4"/>
      <c r="F20" s="80"/>
      <c r="G20" s="81"/>
      <c r="H20" s="81"/>
      <c r="I20" s="93"/>
    </row>
    <row r="21" ht="14.25" customHeight="1" spans="2:9">
      <c r="B21" s="78"/>
      <c r="C21" s="79"/>
      <c r="E21" s="4"/>
      <c r="F21" s="80"/>
      <c r="G21" s="81"/>
      <c r="H21" s="81"/>
      <c r="I21" s="93"/>
    </row>
    <row r="22" ht="14.25" customHeight="1" spans="2:9">
      <c r="B22" s="78"/>
      <c r="C22" s="79"/>
      <c r="E22" s="4"/>
      <c r="F22" s="80"/>
      <c r="G22" s="81"/>
      <c r="H22" s="81"/>
      <c r="I22" s="93"/>
    </row>
    <row r="23" ht="14.25" customHeight="1" spans="2:9">
      <c r="B23" s="78"/>
      <c r="C23" s="79"/>
      <c r="E23" s="4"/>
      <c r="F23" s="80"/>
      <c r="G23" s="81"/>
      <c r="H23" s="81"/>
      <c r="I23" s="93"/>
    </row>
    <row r="24" ht="14.25" customHeight="1" spans="2:9">
      <c r="B24" s="78"/>
      <c r="C24" s="79"/>
      <c r="E24" s="4"/>
      <c r="F24" s="80"/>
      <c r="G24" s="81"/>
      <c r="H24" s="81"/>
      <c r="I24" s="93"/>
    </row>
    <row r="25" ht="14.25" customHeight="1" spans="2:9">
      <c r="B25" s="78"/>
      <c r="C25" s="79"/>
      <c r="E25" s="4"/>
      <c r="F25" s="80"/>
      <c r="G25" s="81"/>
      <c r="H25" s="81"/>
      <c r="I25" s="93"/>
    </row>
    <row r="26" ht="14.25" customHeight="1" spans="2:9">
      <c r="B26" s="78"/>
      <c r="C26" s="79"/>
      <c r="E26" s="4"/>
      <c r="F26" s="80"/>
      <c r="G26" s="81"/>
      <c r="H26" s="81"/>
      <c r="I26" s="93"/>
    </row>
    <row r="27" ht="14.25" customHeight="1" spans="2:9">
      <c r="B27" s="78"/>
      <c r="C27" s="79"/>
      <c r="E27" s="4"/>
      <c r="F27" s="80"/>
      <c r="G27" s="81"/>
      <c r="H27" s="81"/>
      <c r="I27" s="93"/>
    </row>
    <row r="28" ht="14.25" customHeight="1" spans="2:9">
      <c r="B28" s="78"/>
      <c r="C28" s="79"/>
      <c r="E28" s="4"/>
      <c r="F28" s="80"/>
      <c r="G28" s="81"/>
      <c r="H28" s="81"/>
      <c r="I28" s="93"/>
    </row>
    <row r="29" ht="14.25" customHeight="1" spans="2:9">
      <c r="B29" s="78"/>
      <c r="C29" s="79"/>
      <c r="E29" s="4"/>
      <c r="F29" s="80"/>
      <c r="G29" s="81"/>
      <c r="H29" s="81"/>
      <c r="I29" s="93"/>
    </row>
    <row r="30" ht="14.25" customHeight="1" spans="2:9">
      <c r="B30" s="78"/>
      <c r="C30" s="79"/>
      <c r="E30" s="4"/>
      <c r="F30" s="80"/>
      <c r="G30" s="81"/>
      <c r="H30" s="81"/>
      <c r="I30" s="93"/>
    </row>
    <row r="31" ht="14.25" customHeight="1" spans="2:9">
      <c r="B31" s="78"/>
      <c r="C31" s="79"/>
      <c r="E31" s="4"/>
      <c r="F31" s="80"/>
      <c r="G31" s="81"/>
      <c r="H31" s="81"/>
      <c r="I31" s="93"/>
    </row>
    <row r="32" ht="14.25" customHeight="1" spans="2:9">
      <c r="B32" s="78"/>
      <c r="C32" s="79"/>
      <c r="E32" s="4"/>
      <c r="F32" s="80"/>
      <c r="G32" s="81"/>
      <c r="H32" s="81"/>
      <c r="I32" s="93"/>
    </row>
    <row r="33" ht="14.25" customHeight="1" spans="2:9">
      <c r="B33" s="78"/>
      <c r="C33" s="79"/>
      <c r="E33" s="4"/>
      <c r="F33" s="80"/>
      <c r="G33" s="81"/>
      <c r="H33" s="81"/>
      <c r="I33" s="93"/>
    </row>
    <row r="34" ht="14.25" customHeight="1" spans="2:9">
      <c r="B34" s="78"/>
      <c r="C34" s="79"/>
      <c r="E34" s="4"/>
      <c r="F34" s="80"/>
      <c r="G34" s="81"/>
      <c r="H34" s="81"/>
      <c r="I34" s="93"/>
    </row>
    <row r="35" ht="14.25" customHeight="1" spans="2:9">
      <c r="B35" s="78"/>
      <c r="C35" s="79"/>
      <c r="E35" s="4"/>
      <c r="F35" s="80"/>
      <c r="G35" s="81"/>
      <c r="H35" s="81"/>
      <c r="I35" s="93"/>
    </row>
    <row r="36" ht="14.25" customHeight="1" spans="2:9">
      <c r="B36" s="78"/>
      <c r="C36" s="79"/>
      <c r="E36" s="4"/>
      <c r="F36" s="80"/>
      <c r="G36" s="81"/>
      <c r="H36" s="81"/>
      <c r="I36" s="93"/>
    </row>
    <row r="37" ht="14.25" customHeight="1" spans="2:9">
      <c r="B37" s="78"/>
      <c r="C37" s="79"/>
      <c r="E37" s="4"/>
      <c r="F37" s="80"/>
      <c r="G37" s="81"/>
      <c r="H37" s="81"/>
      <c r="I37" s="93"/>
    </row>
    <row r="38" ht="14.25" customHeight="1" spans="2:9">
      <c r="B38" s="78"/>
      <c r="C38" s="79"/>
      <c r="E38" s="4"/>
      <c r="F38" s="80"/>
      <c r="G38" s="81"/>
      <c r="H38" s="81"/>
      <c r="I38" s="93"/>
    </row>
    <row r="39" ht="14.25" customHeight="1" spans="2:9">
      <c r="B39" s="78"/>
      <c r="C39" s="79"/>
      <c r="E39" s="4"/>
      <c r="F39" s="80"/>
      <c r="G39" s="81"/>
      <c r="H39" s="81"/>
      <c r="I39" s="93"/>
    </row>
    <row r="40" ht="14.25" customHeight="1" spans="2:9">
      <c r="B40" s="78"/>
      <c r="C40" s="79"/>
      <c r="E40" s="4"/>
      <c r="F40" s="80"/>
      <c r="G40" s="81"/>
      <c r="H40" s="81"/>
      <c r="I40" s="93"/>
    </row>
    <row r="41" ht="14.25" customHeight="1" spans="2:9">
      <c r="B41" s="78"/>
      <c r="C41" s="79"/>
      <c r="E41" s="4"/>
      <c r="F41" s="80"/>
      <c r="G41" s="81"/>
      <c r="H41" s="81"/>
      <c r="I41" s="93"/>
    </row>
    <row r="42" ht="14.25" customHeight="1" spans="2:9">
      <c r="B42" s="78"/>
      <c r="C42" s="79"/>
      <c r="E42" s="4"/>
      <c r="F42" s="80"/>
      <c r="G42" s="81"/>
      <c r="H42" s="81"/>
      <c r="I42" s="93"/>
    </row>
    <row r="43" ht="14.25" customHeight="1" spans="2:9">
      <c r="B43" s="78"/>
      <c r="C43" s="79"/>
      <c r="E43" s="4"/>
      <c r="F43" s="80"/>
      <c r="G43" s="81"/>
      <c r="H43" s="81"/>
      <c r="I43" s="93"/>
    </row>
    <row r="44" ht="14.25" customHeight="1" spans="2:9">
      <c r="B44" s="78"/>
      <c r="C44" s="79"/>
      <c r="E44" s="4"/>
      <c r="F44" s="80"/>
      <c r="G44" s="81"/>
      <c r="H44" s="81"/>
      <c r="I44" s="93"/>
    </row>
    <row r="45" ht="14.25" customHeight="1" spans="2:9">
      <c r="B45" s="78"/>
      <c r="C45" s="79"/>
      <c r="E45" s="4"/>
      <c r="F45" s="80"/>
      <c r="G45" s="81"/>
      <c r="H45" s="81"/>
      <c r="I45" s="93"/>
    </row>
    <row r="46" ht="14.25" customHeight="1" spans="2:9">
      <c r="B46" s="78"/>
      <c r="C46" s="79"/>
      <c r="E46" s="4"/>
      <c r="F46" s="80"/>
      <c r="G46" s="81"/>
      <c r="H46" s="81"/>
      <c r="I46" s="93"/>
    </row>
    <row r="47" ht="14.25" customHeight="1" spans="2:9">
      <c r="B47" s="78"/>
      <c r="C47" s="79"/>
      <c r="E47" s="4"/>
      <c r="F47" s="80"/>
      <c r="G47" s="81"/>
      <c r="H47" s="81"/>
      <c r="I47" s="93"/>
    </row>
    <row r="48" ht="14.25" customHeight="1" spans="2:9">
      <c r="B48" s="78"/>
      <c r="C48" s="79"/>
      <c r="E48" s="4"/>
      <c r="F48" s="80"/>
      <c r="G48" s="81"/>
      <c r="H48" s="81"/>
      <c r="I48" s="93"/>
    </row>
    <row r="49" ht="14.25" customHeight="1" spans="2:9">
      <c r="B49" s="78"/>
      <c r="C49" s="79"/>
      <c r="E49" s="4"/>
      <c r="F49" s="80"/>
      <c r="G49" s="81"/>
      <c r="H49" s="81"/>
      <c r="I49" s="93"/>
    </row>
    <row r="50" ht="14.25" customHeight="1" spans="2:9">
      <c r="B50" s="78"/>
      <c r="C50" s="79"/>
      <c r="E50" s="4"/>
      <c r="F50" s="80"/>
      <c r="G50" s="81"/>
      <c r="H50" s="81"/>
      <c r="I50" s="93"/>
    </row>
    <row r="51" ht="14.25" customHeight="1" spans="2:9">
      <c r="B51" s="78"/>
      <c r="C51" s="79"/>
      <c r="E51" s="4"/>
      <c r="F51" s="80"/>
      <c r="G51" s="81"/>
      <c r="H51" s="81"/>
      <c r="I51" s="93"/>
    </row>
    <row r="52" ht="14.25" customHeight="1" spans="2:9">
      <c r="B52" s="78"/>
      <c r="C52" s="79"/>
      <c r="E52" s="4"/>
      <c r="F52" s="80"/>
      <c r="G52" s="81"/>
      <c r="H52" s="81"/>
      <c r="I52" s="93"/>
    </row>
    <row r="53" ht="14.25" customHeight="1" spans="2:9">
      <c r="B53" s="78"/>
      <c r="C53" s="79"/>
      <c r="E53" s="4"/>
      <c r="F53" s="80"/>
      <c r="G53" s="81"/>
      <c r="H53" s="81"/>
      <c r="I53" s="93"/>
    </row>
    <row r="54" ht="14.25" customHeight="1" spans="2:9">
      <c r="B54" s="78"/>
      <c r="C54" s="79"/>
      <c r="E54" s="4"/>
      <c r="F54" s="80"/>
      <c r="G54" s="81"/>
      <c r="H54" s="81"/>
      <c r="I54" s="93"/>
    </row>
    <row r="55" ht="14.25" customHeight="1" spans="2:9">
      <c r="B55" s="78"/>
      <c r="C55" s="79"/>
      <c r="E55" s="4"/>
      <c r="F55" s="80"/>
      <c r="G55" s="81"/>
      <c r="H55" s="81"/>
      <c r="I55" s="93"/>
    </row>
    <row r="56" ht="14.25" customHeight="1" spans="2:9">
      <c r="B56" s="78"/>
      <c r="C56" s="79"/>
      <c r="E56" s="4"/>
      <c r="F56" s="80"/>
      <c r="G56" s="81"/>
      <c r="H56" s="81"/>
      <c r="I56" s="93"/>
    </row>
    <row r="57" ht="14.25" customHeight="1" spans="2:9">
      <c r="B57" s="78"/>
      <c r="C57" s="79"/>
      <c r="E57" s="4"/>
      <c r="F57" s="80"/>
      <c r="G57" s="81"/>
      <c r="H57" s="81"/>
      <c r="I57" s="93"/>
    </row>
    <row r="58" ht="14.25" customHeight="1" spans="2:9">
      <c r="B58" s="78"/>
      <c r="C58" s="79"/>
      <c r="E58" s="4"/>
      <c r="F58" s="80"/>
      <c r="G58" s="81"/>
      <c r="H58" s="81"/>
      <c r="I58" s="93"/>
    </row>
    <row r="59" ht="14.25" customHeight="1" spans="2:9">
      <c r="B59" s="78"/>
      <c r="C59" s="79"/>
      <c r="E59" s="4"/>
      <c r="F59" s="80"/>
      <c r="G59" s="81"/>
      <c r="H59" s="81"/>
      <c r="I59" s="93"/>
    </row>
    <row r="60" ht="14.25" customHeight="1" spans="2:9">
      <c r="B60" s="78"/>
      <c r="C60" s="79"/>
      <c r="E60" s="4"/>
      <c r="F60" s="80"/>
      <c r="G60" s="81"/>
      <c r="H60" s="81"/>
      <c r="I60" s="93"/>
    </row>
    <row r="61" ht="14.25" customHeight="1" spans="2:9">
      <c r="B61" s="78"/>
      <c r="C61" s="79"/>
      <c r="E61" s="4"/>
      <c r="F61" s="80"/>
      <c r="G61" s="81"/>
      <c r="H61" s="81"/>
      <c r="I61" s="93"/>
    </row>
    <row r="62" ht="14.25" customHeight="1" spans="2:9">
      <c r="B62" s="78"/>
      <c r="C62" s="79"/>
      <c r="E62" s="4"/>
      <c r="F62" s="80"/>
      <c r="G62" s="81"/>
      <c r="H62" s="81"/>
      <c r="I62" s="93"/>
    </row>
    <row r="63" ht="14.25" customHeight="1" spans="2:9">
      <c r="B63" s="78"/>
      <c r="C63" s="79"/>
      <c r="E63" s="4"/>
      <c r="F63" s="80"/>
      <c r="G63" s="81"/>
      <c r="H63" s="81"/>
      <c r="I63" s="93"/>
    </row>
    <row r="64" ht="14.25" customHeight="1" spans="2:9">
      <c r="B64" s="78"/>
      <c r="C64" s="79"/>
      <c r="E64" s="4"/>
      <c r="F64" s="80"/>
      <c r="G64" s="81"/>
      <c r="H64" s="81"/>
      <c r="I64" s="93"/>
    </row>
    <row r="65" ht="14.25" customHeight="1" spans="2:9">
      <c r="B65" s="78"/>
      <c r="C65" s="79"/>
      <c r="E65" s="4"/>
      <c r="F65" s="80"/>
      <c r="G65" s="81"/>
      <c r="H65" s="81"/>
      <c r="I65" s="93"/>
    </row>
    <row r="66" ht="14.25" customHeight="1" spans="2:9">
      <c r="B66" s="78"/>
      <c r="C66" s="79"/>
      <c r="E66" s="4"/>
      <c r="F66" s="80"/>
      <c r="G66" s="81"/>
      <c r="H66" s="81"/>
      <c r="I66" s="93"/>
    </row>
    <row r="67" ht="14.25" customHeight="1" spans="2:9">
      <c r="B67" s="78"/>
      <c r="C67" s="79"/>
      <c r="E67" s="4"/>
      <c r="F67" s="80"/>
      <c r="G67" s="81"/>
      <c r="H67" s="81"/>
      <c r="I67" s="93"/>
    </row>
    <row r="68" ht="14.25" customHeight="1" spans="2:9">
      <c r="B68" s="78"/>
      <c r="C68" s="79"/>
      <c r="E68" s="4"/>
      <c r="F68" s="80"/>
      <c r="G68" s="81"/>
      <c r="H68" s="81"/>
      <c r="I68" s="93"/>
    </row>
    <row r="69" ht="14.25" customHeight="1" spans="2:9">
      <c r="B69" s="78"/>
      <c r="C69" s="79"/>
      <c r="E69" s="4"/>
      <c r="F69" s="80"/>
      <c r="G69" s="81"/>
      <c r="H69" s="81"/>
      <c r="I69" s="93"/>
    </row>
    <row r="70" ht="14.25" customHeight="1" spans="2:9">
      <c r="B70" s="78"/>
      <c r="C70" s="79"/>
      <c r="E70" s="4"/>
      <c r="F70" s="80"/>
      <c r="G70" s="81"/>
      <c r="H70" s="81"/>
      <c r="I70" s="93"/>
    </row>
    <row r="71" ht="14.25" customHeight="1" spans="2:9">
      <c r="B71" s="78"/>
      <c r="C71" s="79"/>
      <c r="E71" s="4"/>
      <c r="F71" s="80"/>
      <c r="G71" s="81"/>
      <c r="H71" s="81"/>
      <c r="I71" s="93"/>
    </row>
    <row r="72" ht="14.25" customHeight="1" spans="2:9">
      <c r="B72" s="78"/>
      <c r="C72" s="79"/>
      <c r="E72" s="4"/>
      <c r="F72" s="80"/>
      <c r="G72" s="81"/>
      <c r="H72" s="81"/>
      <c r="I72" s="93"/>
    </row>
    <row r="73" ht="14.25" customHeight="1" spans="2:9">
      <c r="B73" s="78"/>
      <c r="C73" s="79"/>
      <c r="E73" s="4"/>
      <c r="F73" s="80"/>
      <c r="G73" s="81"/>
      <c r="H73" s="81"/>
      <c r="I73" s="93"/>
    </row>
    <row r="74" ht="14.25" customHeight="1" spans="2:9">
      <c r="B74" s="78"/>
      <c r="C74" s="79"/>
      <c r="E74" s="4"/>
      <c r="F74" s="80"/>
      <c r="G74" s="81"/>
      <c r="H74" s="81"/>
      <c r="I74" s="93"/>
    </row>
    <row r="75" ht="14.25" customHeight="1" spans="2:9">
      <c r="B75" s="78"/>
      <c r="C75" s="79"/>
      <c r="E75" s="4"/>
      <c r="F75" s="80"/>
      <c r="G75" s="81"/>
      <c r="H75" s="81"/>
      <c r="I75" s="93"/>
    </row>
    <row r="76" ht="14.25" customHeight="1" spans="2:9">
      <c r="B76" s="78"/>
      <c r="C76" s="79"/>
      <c r="E76" s="4"/>
      <c r="F76" s="80"/>
      <c r="G76" s="81"/>
      <c r="H76" s="81"/>
      <c r="I76" s="93"/>
    </row>
    <row r="77" ht="14.25" customHeight="1" spans="2:9">
      <c r="B77" s="78"/>
      <c r="C77" s="79"/>
      <c r="E77" s="4"/>
      <c r="F77" s="80"/>
      <c r="G77" s="81"/>
      <c r="H77" s="81"/>
      <c r="I77" s="93"/>
    </row>
    <row r="78" ht="14.25" customHeight="1" spans="2:9">
      <c r="B78" s="78"/>
      <c r="C78" s="79"/>
      <c r="E78" s="4"/>
      <c r="F78" s="80"/>
      <c r="G78" s="81"/>
      <c r="H78" s="81"/>
      <c r="I78" s="93"/>
    </row>
    <row r="79" ht="14.25" customHeight="1" spans="2:9">
      <c r="B79" s="78"/>
      <c r="C79" s="79"/>
      <c r="E79" s="4"/>
      <c r="F79" s="80"/>
      <c r="G79" s="81"/>
      <c r="H79" s="81"/>
      <c r="I79" s="93"/>
    </row>
    <row r="80" ht="14.25" customHeight="1" spans="2:9">
      <c r="B80" s="78"/>
      <c r="C80" s="79"/>
      <c r="E80" s="4"/>
      <c r="F80" s="80"/>
      <c r="G80" s="81"/>
      <c r="H80" s="81"/>
      <c r="I80" s="93"/>
    </row>
    <row r="81" ht="14.25" customHeight="1" spans="2:9">
      <c r="B81" s="78"/>
      <c r="C81" s="79"/>
      <c r="E81" s="4"/>
      <c r="F81" s="80"/>
      <c r="G81" s="81"/>
      <c r="H81" s="81"/>
      <c r="I81" s="93"/>
    </row>
    <row r="82" ht="14.25" customHeight="1" spans="2:9">
      <c r="B82" s="78"/>
      <c r="C82" s="79"/>
      <c r="E82" s="4"/>
      <c r="F82" s="80"/>
      <c r="G82" s="81"/>
      <c r="H82" s="81"/>
      <c r="I82" s="93"/>
    </row>
    <row r="83" ht="14.25" customHeight="1" spans="2:9">
      <c r="B83" s="78"/>
      <c r="C83" s="79"/>
      <c r="E83" s="4"/>
      <c r="F83" s="80"/>
      <c r="G83" s="81"/>
      <c r="H83" s="81"/>
      <c r="I83" s="93"/>
    </row>
    <row r="84" ht="14.25" customHeight="1" spans="2:9">
      <c r="B84" s="78"/>
      <c r="C84" s="79"/>
      <c r="E84" s="4"/>
      <c r="F84" s="80"/>
      <c r="G84" s="81"/>
      <c r="H84" s="81"/>
      <c r="I84" s="93"/>
    </row>
    <row r="85" ht="14.25" customHeight="1" spans="2:9">
      <c r="B85" s="78"/>
      <c r="C85" s="79"/>
      <c r="E85" s="4"/>
      <c r="F85" s="80"/>
      <c r="G85" s="81"/>
      <c r="H85" s="81"/>
      <c r="I85" s="93"/>
    </row>
    <row r="86" ht="14.25" customHeight="1" spans="2:9">
      <c r="B86" s="78"/>
      <c r="C86" s="79"/>
      <c r="E86" s="4"/>
      <c r="F86" s="80"/>
      <c r="G86" s="81"/>
      <c r="H86" s="81"/>
      <c r="I86" s="93"/>
    </row>
    <row r="87" ht="14.25" customHeight="1" spans="2:9">
      <c r="B87" s="78"/>
      <c r="C87" s="79"/>
      <c r="E87" s="4"/>
      <c r="F87" s="80"/>
      <c r="G87" s="81"/>
      <c r="H87" s="81"/>
      <c r="I87" s="93"/>
    </row>
    <row r="88" ht="14.25" customHeight="1" spans="2:9">
      <c r="B88" s="78"/>
      <c r="C88" s="79"/>
      <c r="E88" s="4"/>
      <c r="F88" s="80"/>
      <c r="G88" s="81"/>
      <c r="H88" s="81"/>
      <c r="I88" s="93"/>
    </row>
    <row r="89" ht="14.25" customHeight="1" spans="2:9">
      <c r="B89" s="78"/>
      <c r="C89" s="79"/>
      <c r="E89" s="4"/>
      <c r="F89" s="80"/>
      <c r="G89" s="81"/>
      <c r="H89" s="81"/>
      <c r="I89" s="93"/>
    </row>
    <row r="90" ht="14.25" customHeight="1" spans="2:9">
      <c r="B90" s="78"/>
      <c r="C90" s="79"/>
      <c r="E90" s="4"/>
      <c r="F90" s="80"/>
      <c r="G90" s="81"/>
      <c r="H90" s="81"/>
      <c r="I90" s="93"/>
    </row>
    <row r="91" ht="14.25" customHeight="1" spans="2:9">
      <c r="B91" s="78"/>
      <c r="C91" s="79"/>
      <c r="E91" s="4"/>
      <c r="F91" s="80"/>
      <c r="G91" s="81"/>
      <c r="H91" s="81"/>
      <c r="I91" s="93"/>
    </row>
    <row r="92" ht="14.25" customHeight="1" spans="2:9">
      <c r="B92" s="78"/>
      <c r="C92" s="79"/>
      <c r="E92" s="4"/>
      <c r="F92" s="80"/>
      <c r="G92" s="81"/>
      <c r="H92" s="81"/>
      <c r="I92" s="93"/>
    </row>
    <row r="93" ht="14.25" customHeight="1" spans="2:9">
      <c r="B93" s="78"/>
      <c r="C93" s="79"/>
      <c r="E93" s="4"/>
      <c r="F93" s="80"/>
      <c r="G93" s="81"/>
      <c r="H93" s="81"/>
      <c r="I93" s="93"/>
    </row>
    <row r="94" ht="14.25" customHeight="1" spans="2:9">
      <c r="B94" s="78"/>
      <c r="C94" s="79"/>
      <c r="E94" s="4"/>
      <c r="F94" s="80"/>
      <c r="G94" s="81"/>
      <c r="H94" s="81"/>
      <c r="I94" s="93"/>
    </row>
    <row r="95" ht="14.25" customHeight="1" spans="2:9">
      <c r="B95" s="78"/>
      <c r="C95" s="79"/>
      <c r="E95" s="4"/>
      <c r="F95" s="80"/>
      <c r="G95" s="81"/>
      <c r="H95" s="81"/>
      <c r="I95" s="93"/>
    </row>
    <row r="96" ht="14.25" customHeight="1" spans="2:9">
      <c r="B96" s="78"/>
      <c r="C96" s="79"/>
      <c r="E96" s="4"/>
      <c r="F96" s="80"/>
      <c r="G96" s="81"/>
      <c r="H96" s="81"/>
      <c r="I96" s="93"/>
    </row>
    <row r="97" ht="14.25" customHeight="1" spans="2:9">
      <c r="B97" s="78"/>
      <c r="C97" s="79"/>
      <c r="E97" s="4"/>
      <c r="F97" s="80"/>
      <c r="G97" s="81"/>
      <c r="H97" s="81"/>
      <c r="I97" s="93"/>
    </row>
    <row r="98" ht="14.25" customHeight="1" spans="2:9">
      <c r="B98" s="78"/>
      <c r="C98" s="79"/>
      <c r="E98" s="4"/>
      <c r="F98" s="80"/>
      <c r="G98" s="81"/>
      <c r="H98" s="81"/>
      <c r="I98" s="93"/>
    </row>
    <row r="99" ht="14.25" customHeight="1" spans="2:9">
      <c r="B99" s="78"/>
      <c r="C99" s="79"/>
      <c r="E99" s="4"/>
      <c r="F99" s="80"/>
      <c r="G99" s="81"/>
      <c r="H99" s="81"/>
      <c r="I99" s="93"/>
    </row>
    <row r="100" ht="14.25" customHeight="1" spans="2:9">
      <c r="B100" s="78"/>
      <c r="C100" s="79"/>
      <c r="E100" s="4"/>
      <c r="F100" s="80"/>
      <c r="G100" s="81"/>
      <c r="H100" s="81"/>
      <c r="I100" s="93"/>
    </row>
    <row r="101" ht="14.25" customHeight="1" spans="2:9">
      <c r="B101" s="78"/>
      <c r="C101" s="79"/>
      <c r="E101" s="4"/>
      <c r="F101" s="80"/>
      <c r="G101" s="81"/>
      <c r="H101" s="81"/>
      <c r="I101" s="93"/>
    </row>
    <row r="102" ht="14.25" customHeight="1" spans="2:9">
      <c r="B102" s="78"/>
      <c r="C102" s="79"/>
      <c r="E102" s="4"/>
      <c r="F102" s="80"/>
      <c r="G102" s="81"/>
      <c r="H102" s="81"/>
      <c r="I102" s="93"/>
    </row>
    <row r="103" ht="14.25" customHeight="1" spans="2:9">
      <c r="B103" s="78"/>
      <c r="C103" s="79"/>
      <c r="E103" s="4"/>
      <c r="F103" s="80"/>
      <c r="G103" s="81"/>
      <c r="H103" s="81"/>
      <c r="I103" s="93"/>
    </row>
    <row r="104" ht="14.25" customHeight="1" spans="2:9">
      <c r="B104" s="78"/>
      <c r="C104" s="79"/>
      <c r="E104" s="4"/>
      <c r="F104" s="80"/>
      <c r="G104" s="81"/>
      <c r="H104" s="81"/>
      <c r="I104" s="93"/>
    </row>
    <row r="105" ht="14.25" customHeight="1" spans="2:9">
      <c r="B105" s="78"/>
      <c r="C105" s="79"/>
      <c r="E105" s="4"/>
      <c r="F105" s="80"/>
      <c r="G105" s="81"/>
      <c r="H105" s="81"/>
      <c r="I105" s="93"/>
    </row>
    <row r="106" ht="14.25" customHeight="1" spans="2:9">
      <c r="B106" s="78"/>
      <c r="C106" s="79"/>
      <c r="E106" s="4"/>
      <c r="F106" s="80"/>
      <c r="G106" s="81"/>
      <c r="H106" s="81"/>
      <c r="I106" s="93"/>
    </row>
    <row r="107" ht="14.25" customHeight="1" spans="2:9">
      <c r="B107" s="78"/>
      <c r="C107" s="79"/>
      <c r="E107" s="4"/>
      <c r="F107" s="80"/>
      <c r="G107" s="81"/>
      <c r="H107" s="81"/>
      <c r="I107" s="93"/>
    </row>
    <row r="108" ht="14.25" customHeight="1" spans="2:9">
      <c r="B108" s="78"/>
      <c r="C108" s="79"/>
      <c r="E108" s="4"/>
      <c r="F108" s="80"/>
      <c r="G108" s="81"/>
      <c r="H108" s="81"/>
      <c r="I108" s="93"/>
    </row>
    <row r="109" ht="14.25" customHeight="1" spans="2:9">
      <c r="B109" s="78"/>
      <c r="C109" s="79"/>
      <c r="E109" s="4"/>
      <c r="F109" s="80"/>
      <c r="G109" s="81"/>
      <c r="H109" s="81"/>
      <c r="I109" s="93"/>
    </row>
    <row r="110" ht="14.25" customHeight="1" spans="2:9">
      <c r="B110" s="78"/>
      <c r="C110" s="79"/>
      <c r="E110" s="4"/>
      <c r="F110" s="80"/>
      <c r="G110" s="81"/>
      <c r="H110" s="81"/>
      <c r="I110" s="93"/>
    </row>
    <row r="111" ht="14.25" customHeight="1" spans="2:9">
      <c r="B111" s="78"/>
      <c r="C111" s="79"/>
      <c r="E111" s="4"/>
      <c r="F111" s="80"/>
      <c r="G111" s="81"/>
      <c r="H111" s="81"/>
      <c r="I111" s="93"/>
    </row>
    <row r="112" ht="14.25" customHeight="1" spans="2:9">
      <c r="B112" s="78"/>
      <c r="C112" s="79"/>
      <c r="E112" s="4"/>
      <c r="F112" s="80"/>
      <c r="G112" s="81"/>
      <c r="H112" s="81"/>
      <c r="I112" s="93"/>
    </row>
    <row r="113" ht="14.25" customHeight="1" spans="2:9">
      <c r="B113" s="78"/>
      <c r="C113" s="79"/>
      <c r="E113" s="4"/>
      <c r="F113" s="80"/>
      <c r="G113" s="81"/>
      <c r="H113" s="81"/>
      <c r="I113" s="93"/>
    </row>
    <row r="114" ht="14.25" customHeight="1" spans="2:9">
      <c r="B114" s="78"/>
      <c r="C114" s="79"/>
      <c r="E114" s="4"/>
      <c r="F114" s="80"/>
      <c r="G114" s="81"/>
      <c r="H114" s="81"/>
      <c r="I114" s="93"/>
    </row>
    <row r="115" ht="14.25" customHeight="1" spans="2:9">
      <c r="B115" s="78"/>
      <c r="C115" s="79"/>
      <c r="E115" s="4"/>
      <c r="F115" s="80"/>
      <c r="G115" s="81"/>
      <c r="H115" s="81"/>
      <c r="I115" s="93"/>
    </row>
    <row r="116" ht="14.25" customHeight="1" spans="2:9">
      <c r="B116" s="78"/>
      <c r="C116" s="79"/>
      <c r="E116" s="4"/>
      <c r="F116" s="80"/>
      <c r="G116" s="81"/>
      <c r="H116" s="81"/>
      <c r="I116" s="93"/>
    </row>
    <row r="117" ht="14.25" customHeight="1" spans="2:9">
      <c r="B117" s="78"/>
      <c r="C117" s="79"/>
      <c r="E117" s="4"/>
      <c r="F117" s="80"/>
      <c r="G117" s="81"/>
      <c r="H117" s="81"/>
      <c r="I117" s="93"/>
    </row>
    <row r="118" ht="14.25" customHeight="1" spans="2:9">
      <c r="B118" s="78"/>
      <c r="C118" s="79"/>
      <c r="E118" s="4"/>
      <c r="F118" s="80"/>
      <c r="G118" s="81"/>
      <c r="H118" s="81"/>
      <c r="I118" s="93"/>
    </row>
    <row r="119" ht="14.25" customHeight="1" spans="2:9">
      <c r="B119" s="78"/>
      <c r="C119" s="79"/>
      <c r="E119" s="4"/>
      <c r="F119" s="80"/>
      <c r="G119" s="81"/>
      <c r="H119" s="81"/>
      <c r="I119" s="93"/>
    </row>
    <row r="120" ht="14.25" customHeight="1" spans="2:9">
      <c r="B120" s="78"/>
      <c r="C120" s="79"/>
      <c r="E120" s="4"/>
      <c r="F120" s="80"/>
      <c r="G120" s="81"/>
      <c r="H120" s="81"/>
      <c r="I120" s="93"/>
    </row>
    <row r="121" ht="14.25" customHeight="1" spans="2:9">
      <c r="B121" s="78"/>
      <c r="C121" s="79"/>
      <c r="E121" s="4"/>
      <c r="F121" s="80"/>
      <c r="G121" s="81"/>
      <c r="H121" s="81"/>
      <c r="I121" s="93"/>
    </row>
    <row r="122" ht="14.25" customHeight="1" spans="2:9">
      <c r="B122" s="78"/>
      <c r="C122" s="79"/>
      <c r="E122" s="4"/>
      <c r="F122" s="80"/>
      <c r="G122" s="81"/>
      <c r="H122" s="81"/>
      <c r="I122" s="93"/>
    </row>
    <row r="123" ht="14.25" customHeight="1" spans="2:9">
      <c r="B123" s="78"/>
      <c r="C123" s="79"/>
      <c r="E123" s="4"/>
      <c r="F123" s="80"/>
      <c r="G123" s="81"/>
      <c r="H123" s="81"/>
      <c r="I123" s="93"/>
    </row>
    <row r="124" ht="14.25" customHeight="1" spans="2:9">
      <c r="B124" s="78"/>
      <c r="C124" s="79"/>
      <c r="E124" s="4"/>
      <c r="F124" s="80"/>
      <c r="G124" s="81"/>
      <c r="H124" s="81"/>
      <c r="I124" s="93"/>
    </row>
    <row r="125" ht="14.25" customHeight="1" spans="2:9">
      <c r="B125" s="78"/>
      <c r="C125" s="79"/>
      <c r="E125" s="4"/>
      <c r="F125" s="80"/>
      <c r="G125" s="81"/>
      <c r="H125" s="81"/>
      <c r="I125" s="93"/>
    </row>
    <row r="126" ht="14.25" customHeight="1" spans="2:9">
      <c r="B126" s="78"/>
      <c r="C126" s="79"/>
      <c r="E126" s="4"/>
      <c r="F126" s="80"/>
      <c r="G126" s="81"/>
      <c r="H126" s="81"/>
      <c r="I126" s="93"/>
    </row>
    <row r="127" ht="14.25" customHeight="1" spans="2:9">
      <c r="B127" s="78"/>
      <c r="C127" s="79"/>
      <c r="E127" s="4"/>
      <c r="F127" s="80"/>
      <c r="G127" s="81"/>
      <c r="H127" s="81"/>
      <c r="I127" s="93"/>
    </row>
    <row r="128" ht="14.25" customHeight="1" spans="2:9">
      <c r="B128" s="78"/>
      <c r="C128" s="79"/>
      <c r="E128" s="4"/>
      <c r="F128" s="80"/>
      <c r="G128" s="81"/>
      <c r="H128" s="81"/>
      <c r="I128" s="93"/>
    </row>
    <row r="129" ht="14.25" customHeight="1" spans="2:9">
      <c r="B129" s="78"/>
      <c r="C129" s="79"/>
      <c r="E129" s="4"/>
      <c r="F129" s="80"/>
      <c r="G129" s="81"/>
      <c r="H129" s="81"/>
      <c r="I129" s="93"/>
    </row>
    <row r="130" ht="14.25" customHeight="1" spans="2:9">
      <c r="B130" s="78"/>
      <c r="C130" s="79"/>
      <c r="E130" s="4"/>
      <c r="F130" s="80"/>
      <c r="G130" s="81"/>
      <c r="H130" s="81"/>
      <c r="I130" s="93"/>
    </row>
    <row r="131" ht="14.25" customHeight="1" spans="2:9">
      <c r="B131" s="78"/>
      <c r="C131" s="79"/>
      <c r="E131" s="4"/>
      <c r="F131" s="80"/>
      <c r="G131" s="81"/>
      <c r="H131" s="81"/>
      <c r="I131" s="93"/>
    </row>
    <row r="132" ht="14.25" customHeight="1" spans="2:9">
      <c r="B132" s="78"/>
      <c r="C132" s="79"/>
      <c r="E132" s="4"/>
      <c r="F132" s="80"/>
      <c r="G132" s="81"/>
      <c r="H132" s="81"/>
      <c r="I132" s="93"/>
    </row>
    <row r="133" ht="14.25" customHeight="1" spans="2:9">
      <c r="B133" s="78"/>
      <c r="C133" s="79"/>
      <c r="E133" s="4"/>
      <c r="F133" s="80"/>
      <c r="G133" s="81"/>
      <c r="H133" s="81"/>
      <c r="I133" s="93"/>
    </row>
    <row r="134" ht="14.25" customHeight="1" spans="2:9">
      <c r="B134" s="78"/>
      <c r="C134" s="79"/>
      <c r="E134" s="4"/>
      <c r="F134" s="80"/>
      <c r="G134" s="81"/>
      <c r="H134" s="81"/>
      <c r="I134" s="93"/>
    </row>
    <row r="135" ht="14.25" customHeight="1" spans="2:9">
      <c r="B135" s="78"/>
      <c r="C135" s="79"/>
      <c r="E135" s="4"/>
      <c r="F135" s="80"/>
      <c r="G135" s="81"/>
      <c r="H135" s="81"/>
      <c r="I135" s="93"/>
    </row>
    <row r="136" ht="14.25" customHeight="1" spans="2:9">
      <c r="B136" s="78"/>
      <c r="C136" s="79"/>
      <c r="E136" s="4"/>
      <c r="F136" s="80"/>
      <c r="G136" s="81"/>
      <c r="H136" s="81"/>
      <c r="I136" s="93"/>
    </row>
    <row r="137" ht="14.25" customHeight="1" spans="2:9">
      <c r="B137" s="78"/>
      <c r="C137" s="79"/>
      <c r="E137" s="4"/>
      <c r="F137" s="80"/>
      <c r="G137" s="81"/>
      <c r="H137" s="81"/>
      <c r="I137" s="93"/>
    </row>
    <row r="138" ht="14.25" customHeight="1" spans="2:9">
      <c r="B138" s="78"/>
      <c r="C138" s="79"/>
      <c r="E138" s="4"/>
      <c r="F138" s="80"/>
      <c r="G138" s="81"/>
      <c r="H138" s="81"/>
      <c r="I138" s="93"/>
    </row>
    <row r="139" ht="14.25" customHeight="1" spans="2:9">
      <c r="B139" s="78"/>
      <c r="C139" s="79"/>
      <c r="E139" s="4"/>
      <c r="F139" s="80"/>
      <c r="G139" s="81"/>
      <c r="H139" s="81"/>
      <c r="I139" s="93"/>
    </row>
    <row r="140" ht="14.25" customHeight="1" spans="2:9">
      <c r="B140" s="78"/>
      <c r="C140" s="79"/>
      <c r="E140" s="4"/>
      <c r="F140" s="80"/>
      <c r="G140" s="81"/>
      <c r="H140" s="81"/>
      <c r="I140" s="93"/>
    </row>
    <row r="141" ht="14.25" customHeight="1" spans="2:9">
      <c r="B141" s="78"/>
      <c r="C141" s="79"/>
      <c r="E141" s="4"/>
      <c r="F141" s="80"/>
      <c r="G141" s="81"/>
      <c r="H141" s="81"/>
      <c r="I141" s="93"/>
    </row>
    <row r="142" ht="14.25" customHeight="1" spans="2:9">
      <c r="B142" s="78"/>
      <c r="C142" s="79"/>
      <c r="E142" s="4"/>
      <c r="F142" s="80"/>
      <c r="G142" s="81"/>
      <c r="H142" s="81"/>
      <c r="I142" s="93"/>
    </row>
    <row r="143" ht="14.25" customHeight="1" spans="2:9">
      <c r="B143" s="78"/>
      <c r="C143" s="79"/>
      <c r="E143" s="4"/>
      <c r="F143" s="80"/>
      <c r="G143" s="81"/>
      <c r="H143" s="81"/>
      <c r="I143" s="93"/>
    </row>
    <row r="144" ht="14.25" customHeight="1" spans="2:9">
      <c r="B144" s="78"/>
      <c r="C144" s="79"/>
      <c r="E144" s="4"/>
      <c r="F144" s="80"/>
      <c r="G144" s="81"/>
      <c r="H144" s="81"/>
      <c r="I144" s="93"/>
    </row>
    <row r="145" ht="14.25" customHeight="1" spans="2:9">
      <c r="B145" s="78"/>
      <c r="C145" s="79"/>
      <c r="E145" s="4"/>
      <c r="F145" s="80"/>
      <c r="G145" s="81"/>
      <c r="H145" s="81"/>
      <c r="I145" s="93"/>
    </row>
    <row r="146" ht="14.25" customHeight="1" spans="2:9">
      <c r="B146" s="78"/>
      <c r="C146" s="79"/>
      <c r="E146" s="4"/>
      <c r="F146" s="80"/>
      <c r="G146" s="81"/>
      <c r="H146" s="81"/>
      <c r="I146" s="93"/>
    </row>
    <row r="147" ht="14.25" customHeight="1" spans="2:9">
      <c r="B147" s="78"/>
      <c r="C147" s="79"/>
      <c r="E147" s="4"/>
      <c r="F147" s="80"/>
      <c r="G147" s="81"/>
      <c r="H147" s="81"/>
      <c r="I147" s="93"/>
    </row>
    <row r="148" ht="14.25" customHeight="1" spans="2:9">
      <c r="B148" s="78"/>
      <c r="C148" s="79"/>
      <c r="E148" s="4"/>
      <c r="F148" s="80"/>
      <c r="G148" s="81"/>
      <c r="H148" s="81"/>
      <c r="I148" s="93"/>
    </row>
    <row r="149" ht="14.25" customHeight="1" spans="2:9">
      <c r="B149" s="78"/>
      <c r="C149" s="79"/>
      <c r="E149" s="4"/>
      <c r="F149" s="80"/>
      <c r="G149" s="81"/>
      <c r="H149" s="81"/>
      <c r="I149" s="93"/>
    </row>
    <row r="150" ht="14.25" customHeight="1" spans="2:9">
      <c r="B150" s="78"/>
      <c r="C150" s="79"/>
      <c r="E150" s="4"/>
      <c r="F150" s="80"/>
      <c r="G150" s="81"/>
      <c r="H150" s="81"/>
      <c r="I150" s="93"/>
    </row>
    <row r="151" ht="14.25" customHeight="1" spans="2:9">
      <c r="B151" s="78"/>
      <c r="C151" s="79"/>
      <c r="E151" s="4"/>
      <c r="F151" s="80"/>
      <c r="G151" s="81"/>
      <c r="H151" s="81"/>
      <c r="I151" s="93"/>
    </row>
    <row r="152" ht="14.25" customHeight="1" spans="2:9">
      <c r="B152" s="78"/>
      <c r="C152" s="79"/>
      <c r="E152" s="4"/>
      <c r="F152" s="80"/>
      <c r="G152" s="81"/>
      <c r="H152" s="81"/>
      <c r="I152" s="93"/>
    </row>
    <row r="153" ht="14.25" customHeight="1" spans="2:9">
      <c r="B153" s="78"/>
      <c r="C153" s="79"/>
      <c r="E153" s="4"/>
      <c r="F153" s="80"/>
      <c r="G153" s="81"/>
      <c r="H153" s="81"/>
      <c r="I153" s="93"/>
    </row>
    <row r="154" ht="14.25" customHeight="1" spans="2:9">
      <c r="B154" s="78"/>
      <c r="C154" s="79"/>
      <c r="E154" s="4"/>
      <c r="F154" s="80"/>
      <c r="G154" s="81"/>
      <c r="H154" s="81"/>
      <c r="I154" s="93"/>
    </row>
    <row r="155" ht="14.25" customHeight="1" spans="2:9">
      <c r="B155" s="78"/>
      <c r="C155" s="79"/>
      <c r="E155" s="4"/>
      <c r="F155" s="80"/>
      <c r="G155" s="81"/>
      <c r="H155" s="81"/>
      <c r="I155" s="93"/>
    </row>
    <row r="156" ht="14.25" customHeight="1" spans="2:9">
      <c r="B156" s="78"/>
      <c r="C156" s="79"/>
      <c r="E156" s="4"/>
      <c r="F156" s="80"/>
      <c r="G156" s="81"/>
      <c r="H156" s="81"/>
      <c r="I156" s="93"/>
    </row>
    <row r="157" ht="14.25" customHeight="1" spans="2:9">
      <c r="B157" s="78"/>
      <c r="C157" s="79"/>
      <c r="E157" s="4"/>
      <c r="F157" s="80"/>
      <c r="G157" s="81"/>
      <c r="H157" s="81"/>
      <c r="I157" s="93"/>
    </row>
    <row r="158" ht="14.25" customHeight="1" spans="2:9">
      <c r="B158" s="78"/>
      <c r="C158" s="79"/>
      <c r="E158" s="4"/>
      <c r="F158" s="80"/>
      <c r="G158" s="81"/>
      <c r="H158" s="81"/>
      <c r="I158" s="93"/>
    </row>
    <row r="159" ht="14.25" customHeight="1" spans="2:9">
      <c r="B159" s="78"/>
      <c r="C159" s="79"/>
      <c r="E159" s="4"/>
      <c r="F159" s="80"/>
      <c r="G159" s="81"/>
      <c r="H159" s="81"/>
      <c r="I159" s="93"/>
    </row>
    <row r="160" ht="14.25" customHeight="1" spans="2:9">
      <c r="B160" s="78"/>
      <c r="C160" s="79"/>
      <c r="E160" s="4"/>
      <c r="F160" s="80"/>
      <c r="G160" s="81"/>
      <c r="H160" s="81"/>
      <c r="I160" s="93"/>
    </row>
    <row r="161" ht="14.25" customHeight="1" spans="2:9">
      <c r="B161" s="78"/>
      <c r="C161" s="79"/>
      <c r="E161" s="4"/>
      <c r="F161" s="80"/>
      <c r="G161" s="81"/>
      <c r="H161" s="81"/>
      <c r="I161" s="93"/>
    </row>
    <row r="162" ht="14.25" customHeight="1" spans="2:9">
      <c r="B162" s="78"/>
      <c r="C162" s="79"/>
      <c r="E162" s="4"/>
      <c r="F162" s="80"/>
      <c r="G162" s="81"/>
      <c r="H162" s="81"/>
      <c r="I162" s="93"/>
    </row>
    <row r="163" ht="14.25" customHeight="1" spans="2:9">
      <c r="B163" s="78"/>
      <c r="C163" s="79"/>
      <c r="E163" s="4"/>
      <c r="F163" s="80"/>
      <c r="G163" s="81"/>
      <c r="H163" s="81"/>
      <c r="I163" s="93"/>
    </row>
    <row r="164" ht="14.25" customHeight="1" spans="2:9">
      <c r="B164" s="78"/>
      <c r="C164" s="79"/>
      <c r="E164" s="4"/>
      <c r="F164" s="80"/>
      <c r="G164" s="81"/>
      <c r="H164" s="81"/>
      <c r="I164" s="93"/>
    </row>
    <row r="165" ht="14.25" customHeight="1" spans="2:9">
      <c r="B165" s="78"/>
      <c r="C165" s="79"/>
      <c r="E165" s="4"/>
      <c r="F165" s="80"/>
      <c r="G165" s="81"/>
      <c r="H165" s="81"/>
      <c r="I165" s="93"/>
    </row>
    <row r="166" ht="14.25" customHeight="1" spans="2:9">
      <c r="B166" s="78"/>
      <c r="C166" s="79"/>
      <c r="E166" s="4"/>
      <c r="F166" s="80"/>
      <c r="G166" s="81"/>
      <c r="H166" s="81"/>
      <c r="I166" s="93"/>
    </row>
    <row r="167" ht="14.25" customHeight="1" spans="2:9">
      <c r="B167" s="78"/>
      <c r="C167" s="79"/>
      <c r="E167" s="4"/>
      <c r="F167" s="80"/>
      <c r="G167" s="81"/>
      <c r="H167" s="81"/>
      <c r="I167" s="93"/>
    </row>
    <row r="168" ht="14.25" customHeight="1" spans="2:9">
      <c r="B168" s="78"/>
      <c r="C168" s="79"/>
      <c r="E168" s="4"/>
      <c r="F168" s="80"/>
      <c r="G168" s="81"/>
      <c r="H168" s="81"/>
      <c r="I168" s="93"/>
    </row>
    <row r="169" ht="14.25" customHeight="1" spans="2:9">
      <c r="B169" s="78"/>
      <c r="C169" s="79"/>
      <c r="E169" s="4"/>
      <c r="F169" s="80"/>
      <c r="G169" s="81"/>
      <c r="H169" s="81"/>
      <c r="I169" s="93"/>
    </row>
    <row r="170" ht="14.25" customHeight="1" spans="2:9">
      <c r="B170" s="78"/>
      <c r="C170" s="79"/>
      <c r="E170" s="4"/>
      <c r="F170" s="80"/>
      <c r="G170" s="81"/>
      <c r="H170" s="81"/>
      <c r="I170" s="93"/>
    </row>
    <row r="171" ht="14.25" customHeight="1" spans="2:9">
      <c r="B171" s="78"/>
      <c r="C171" s="79"/>
      <c r="E171" s="4"/>
      <c r="F171" s="80"/>
      <c r="G171" s="81"/>
      <c r="H171" s="81"/>
      <c r="I171" s="93"/>
    </row>
    <row r="172" ht="14.25" customHeight="1" spans="2:9">
      <c r="B172" s="78"/>
      <c r="C172" s="79"/>
      <c r="E172" s="4"/>
      <c r="F172" s="80"/>
      <c r="G172" s="81"/>
      <c r="H172" s="81"/>
      <c r="I172" s="93"/>
    </row>
    <row r="173" ht="14.25" customHeight="1" spans="2:9">
      <c r="B173" s="78"/>
      <c r="C173" s="79"/>
      <c r="E173" s="4"/>
      <c r="F173" s="80"/>
      <c r="G173" s="81"/>
      <c r="H173" s="81"/>
      <c r="I173" s="93"/>
    </row>
    <row r="174" ht="14.25" customHeight="1" spans="2:9">
      <c r="B174" s="78"/>
      <c r="C174" s="79"/>
      <c r="E174" s="4"/>
      <c r="F174" s="80"/>
      <c r="G174" s="81"/>
      <c r="H174" s="81"/>
      <c r="I174" s="93"/>
    </row>
    <row r="175" ht="14.25" customHeight="1" spans="2:9">
      <c r="B175" s="78"/>
      <c r="C175" s="79"/>
      <c r="E175" s="4"/>
      <c r="F175" s="80"/>
      <c r="G175" s="81"/>
      <c r="H175" s="81"/>
      <c r="I175" s="93"/>
    </row>
    <row r="176" ht="14.25" customHeight="1" spans="2:9">
      <c r="B176" s="78"/>
      <c r="C176" s="79"/>
      <c r="E176" s="4"/>
      <c r="F176" s="80"/>
      <c r="G176" s="81"/>
      <c r="H176" s="81"/>
      <c r="I176" s="93"/>
    </row>
    <row r="177" ht="14.25" customHeight="1" spans="2:9">
      <c r="B177" s="78"/>
      <c r="C177" s="79"/>
      <c r="E177" s="4"/>
      <c r="F177" s="80"/>
      <c r="G177" s="81"/>
      <c r="H177" s="81"/>
      <c r="I177" s="93"/>
    </row>
    <row r="178" ht="14.25" customHeight="1" spans="2:9">
      <c r="B178" s="78"/>
      <c r="C178" s="79"/>
      <c r="E178" s="4"/>
      <c r="F178" s="80"/>
      <c r="G178" s="81"/>
      <c r="H178" s="81"/>
      <c r="I178" s="93"/>
    </row>
    <row r="179" ht="14.25" customHeight="1" spans="2:9">
      <c r="B179" s="78"/>
      <c r="C179" s="79"/>
      <c r="E179" s="4"/>
      <c r="F179" s="80"/>
      <c r="G179" s="81"/>
      <c r="H179" s="81"/>
      <c r="I179" s="93"/>
    </row>
    <row r="180" ht="14.25" customHeight="1" spans="2:9">
      <c r="B180" s="78"/>
      <c r="C180" s="79"/>
      <c r="E180" s="4"/>
      <c r="F180" s="80"/>
      <c r="G180" s="81"/>
      <c r="H180" s="81"/>
      <c r="I180" s="93"/>
    </row>
    <row r="181" ht="14.25" customHeight="1" spans="2:9">
      <c r="B181" s="78"/>
      <c r="C181" s="79"/>
      <c r="E181" s="4"/>
      <c r="F181" s="80"/>
      <c r="G181" s="81"/>
      <c r="H181" s="81"/>
      <c r="I181" s="93"/>
    </row>
    <row r="182" ht="14.25" customHeight="1" spans="2:9">
      <c r="B182" s="78"/>
      <c r="C182" s="79"/>
      <c r="E182" s="4"/>
      <c r="F182" s="80"/>
      <c r="G182" s="81"/>
      <c r="H182" s="81"/>
      <c r="I182" s="93"/>
    </row>
    <row r="183" ht="14.25" customHeight="1" spans="2:9">
      <c r="B183" s="78"/>
      <c r="C183" s="79"/>
      <c r="E183" s="4"/>
      <c r="F183" s="80"/>
      <c r="G183" s="81"/>
      <c r="H183" s="81"/>
      <c r="I183" s="93"/>
    </row>
    <row r="184" ht="14.25" customHeight="1" spans="2:9">
      <c r="B184" s="78"/>
      <c r="C184" s="79"/>
      <c r="E184" s="4"/>
      <c r="F184" s="80"/>
      <c r="G184" s="81"/>
      <c r="H184" s="81"/>
      <c r="I184" s="93"/>
    </row>
    <row r="185" ht="14.25" customHeight="1" spans="2:9">
      <c r="B185" s="78"/>
      <c r="C185" s="79"/>
      <c r="E185" s="4"/>
      <c r="F185" s="80"/>
      <c r="G185" s="81"/>
      <c r="H185" s="81"/>
      <c r="I185" s="93"/>
    </row>
    <row r="186" ht="14.25" customHeight="1" spans="2:9">
      <c r="B186" s="78"/>
      <c r="C186" s="79"/>
      <c r="E186" s="4"/>
      <c r="F186" s="80"/>
      <c r="G186" s="81"/>
      <c r="H186" s="81"/>
      <c r="I186" s="93"/>
    </row>
    <row r="187" ht="14.25" customHeight="1" spans="2:9">
      <c r="B187" s="78"/>
      <c r="C187" s="79"/>
      <c r="E187" s="4"/>
      <c r="F187" s="80"/>
      <c r="G187" s="81"/>
      <c r="H187" s="81"/>
      <c r="I187" s="93"/>
    </row>
    <row r="188" ht="14.25" customHeight="1" spans="2:9">
      <c r="B188" s="78"/>
      <c r="C188" s="79"/>
      <c r="E188" s="4"/>
      <c r="F188" s="80"/>
      <c r="G188" s="81"/>
      <c r="H188" s="81"/>
      <c r="I188" s="93"/>
    </row>
    <row r="189" ht="14.25" customHeight="1" spans="2:9">
      <c r="B189" s="78"/>
      <c r="C189" s="79"/>
      <c r="E189" s="4"/>
      <c r="F189" s="80"/>
      <c r="G189" s="81"/>
      <c r="H189" s="81"/>
      <c r="I189" s="93"/>
    </row>
    <row r="190" ht="14.25" customHeight="1" spans="2:9">
      <c r="B190" s="78"/>
      <c r="C190" s="79"/>
      <c r="E190" s="4"/>
      <c r="F190" s="80"/>
      <c r="G190" s="81"/>
      <c r="H190" s="81"/>
      <c r="I190" s="93"/>
    </row>
    <row r="191" ht="14.25" customHeight="1" spans="2:9">
      <c r="B191" s="78"/>
      <c r="C191" s="79"/>
      <c r="E191" s="4"/>
      <c r="F191" s="80"/>
      <c r="G191" s="81"/>
      <c r="H191" s="81"/>
      <c r="I191" s="93"/>
    </row>
    <row r="192" ht="14.25" customHeight="1" spans="2:9">
      <c r="B192" s="78"/>
      <c r="C192" s="79"/>
      <c r="E192" s="4"/>
      <c r="F192" s="80"/>
      <c r="G192" s="81"/>
      <c r="H192" s="81"/>
      <c r="I192" s="93"/>
    </row>
    <row r="193" ht="14.25" customHeight="1" spans="2:9">
      <c r="B193" s="78"/>
      <c r="C193" s="79"/>
      <c r="E193" s="4"/>
      <c r="F193" s="80"/>
      <c r="G193" s="81"/>
      <c r="H193" s="81"/>
      <c r="I193" s="93"/>
    </row>
    <row r="194" ht="14.25" customHeight="1" spans="2:9">
      <c r="B194" s="78"/>
      <c r="C194" s="79"/>
      <c r="E194" s="4"/>
      <c r="F194" s="80"/>
      <c r="G194" s="81"/>
      <c r="H194" s="81"/>
      <c r="I194" s="93"/>
    </row>
    <row r="195" ht="14.25" customHeight="1" spans="2:9">
      <c r="B195" s="78"/>
      <c r="C195" s="79"/>
      <c r="E195" s="4"/>
      <c r="F195" s="80"/>
      <c r="G195" s="81"/>
      <c r="H195" s="81"/>
      <c r="I195" s="93"/>
    </row>
    <row r="196" ht="14.25" customHeight="1" spans="2:9">
      <c r="B196" s="78"/>
      <c r="C196" s="79"/>
      <c r="E196" s="4"/>
      <c r="F196" s="80"/>
      <c r="G196" s="81"/>
      <c r="H196" s="81"/>
      <c r="I196" s="93"/>
    </row>
    <row r="197" ht="14.25" customHeight="1" spans="2:9">
      <c r="B197" s="78"/>
      <c r="C197" s="79"/>
      <c r="E197" s="4"/>
      <c r="F197" s="80"/>
      <c r="G197" s="81"/>
      <c r="H197" s="81"/>
      <c r="I197" s="93"/>
    </row>
    <row r="198" ht="14.25" customHeight="1" spans="2:9">
      <c r="B198" s="78"/>
      <c r="C198" s="79"/>
      <c r="E198" s="4"/>
      <c r="F198" s="80"/>
      <c r="G198" s="81"/>
      <c r="H198" s="81"/>
      <c r="I198" s="93"/>
    </row>
    <row r="199" ht="14.25" customHeight="1" spans="2:9">
      <c r="B199" s="78"/>
      <c r="C199" s="79"/>
      <c r="E199" s="4"/>
      <c r="F199" s="80"/>
      <c r="G199" s="81"/>
      <c r="H199" s="81"/>
      <c r="I199" s="93"/>
    </row>
    <row r="200" ht="14.25" customHeight="1" spans="2:9">
      <c r="B200" s="78"/>
      <c r="C200" s="79"/>
      <c r="E200" s="4"/>
      <c r="F200" s="80"/>
      <c r="G200" s="81"/>
      <c r="H200" s="81"/>
      <c r="I200" s="93"/>
    </row>
    <row r="201" ht="14.25" customHeight="1" spans="2:9">
      <c r="B201" s="78"/>
      <c r="C201" s="79"/>
      <c r="E201" s="4"/>
      <c r="F201" s="80"/>
      <c r="G201" s="81"/>
      <c r="H201" s="81"/>
      <c r="I201" s="93"/>
    </row>
    <row r="202" ht="14.25" customHeight="1" spans="2:9">
      <c r="B202" s="78"/>
      <c r="C202" s="79"/>
      <c r="E202" s="4"/>
      <c r="F202" s="80"/>
      <c r="G202" s="81"/>
      <c r="H202" s="81"/>
      <c r="I202" s="93"/>
    </row>
    <row r="203" ht="14.25" customHeight="1" spans="2:9">
      <c r="B203" s="78"/>
      <c r="C203" s="79"/>
      <c r="E203" s="4"/>
      <c r="F203" s="80"/>
      <c r="G203" s="81"/>
      <c r="H203" s="81"/>
      <c r="I203" s="93"/>
    </row>
    <row r="204" ht="14.25" customHeight="1" spans="2:9">
      <c r="B204" s="78"/>
      <c r="C204" s="79"/>
      <c r="E204" s="4"/>
      <c r="F204" s="80"/>
      <c r="G204" s="81"/>
      <c r="H204" s="81"/>
      <c r="I204" s="93"/>
    </row>
    <row r="205" ht="14.25" customHeight="1" spans="2:9">
      <c r="B205" s="78"/>
      <c r="C205" s="79"/>
      <c r="E205" s="4"/>
      <c r="F205" s="80"/>
      <c r="G205" s="81"/>
      <c r="H205" s="81"/>
      <c r="I205" s="93"/>
    </row>
    <row r="206" ht="14.25" customHeight="1" spans="2:9">
      <c r="B206" s="78"/>
      <c r="C206" s="79"/>
      <c r="E206" s="4"/>
      <c r="F206" s="80"/>
      <c r="G206" s="81"/>
      <c r="H206" s="81"/>
      <c r="I206" s="93"/>
    </row>
    <row r="207" ht="14.25" customHeight="1" spans="2:9">
      <c r="B207" s="78"/>
      <c r="C207" s="79"/>
      <c r="E207" s="4"/>
      <c r="F207" s="80"/>
      <c r="G207" s="81"/>
      <c r="H207" s="81"/>
      <c r="I207" s="93"/>
    </row>
    <row r="208" ht="14.25" customHeight="1" spans="2:9">
      <c r="B208" s="78"/>
      <c r="C208" s="79"/>
      <c r="E208" s="4"/>
      <c r="F208" s="80"/>
      <c r="G208" s="81"/>
      <c r="H208" s="81"/>
      <c r="I208" s="93"/>
    </row>
    <row r="209" ht="14.25" customHeight="1" spans="2:9">
      <c r="B209" s="78"/>
      <c r="C209" s="79"/>
      <c r="E209" s="4"/>
      <c r="F209" s="80"/>
      <c r="G209" s="81"/>
      <c r="H209" s="81"/>
      <c r="I209" s="93"/>
    </row>
    <row r="210" ht="14.25" customHeight="1" spans="2:9">
      <c r="B210" s="78"/>
      <c r="C210" s="79"/>
      <c r="E210" s="4"/>
      <c r="F210" s="80"/>
      <c r="G210" s="81"/>
      <c r="H210" s="81"/>
      <c r="I210" s="93"/>
    </row>
    <row r="211" ht="14.25" customHeight="1" spans="2:9">
      <c r="B211" s="78"/>
      <c r="C211" s="79"/>
      <c r="E211" s="4"/>
      <c r="F211" s="80"/>
      <c r="G211" s="81"/>
      <c r="H211" s="81"/>
      <c r="I211" s="93"/>
    </row>
    <row r="212" ht="14.25" customHeight="1" spans="2:9">
      <c r="B212" s="78"/>
      <c r="C212" s="79"/>
      <c r="E212" s="4"/>
      <c r="F212" s="80"/>
      <c r="G212" s="81"/>
      <c r="H212" s="81"/>
      <c r="I212" s="93"/>
    </row>
    <row r="213" ht="14.25" customHeight="1" spans="2:9">
      <c r="B213" s="78"/>
      <c r="C213" s="79"/>
      <c r="E213" s="4"/>
      <c r="F213" s="80"/>
      <c r="G213" s="81"/>
      <c r="H213" s="81"/>
      <c r="I213" s="93"/>
    </row>
    <row r="214" ht="14.25" customHeight="1" spans="2:9">
      <c r="B214" s="78"/>
      <c r="C214" s="79"/>
      <c r="E214" s="4"/>
      <c r="F214" s="80"/>
      <c r="G214" s="81"/>
      <c r="H214" s="81"/>
      <c r="I214" s="93"/>
    </row>
    <row r="215" ht="14.25" customHeight="1" spans="2:9">
      <c r="B215" s="78"/>
      <c r="C215" s="79"/>
      <c r="E215" s="4"/>
      <c r="F215" s="80"/>
      <c r="G215" s="81"/>
      <c r="H215" s="81"/>
      <c r="I215" s="93"/>
    </row>
    <row r="216" ht="14.25" customHeight="1" spans="2:9">
      <c r="B216" s="78"/>
      <c r="C216" s="79"/>
      <c r="E216" s="4"/>
      <c r="F216" s="80"/>
      <c r="G216" s="81"/>
      <c r="H216" s="81"/>
      <c r="I216" s="93"/>
    </row>
    <row r="217" ht="14.25" customHeight="1" spans="2:9">
      <c r="B217" s="78"/>
      <c r="C217" s="79"/>
      <c r="E217" s="4"/>
      <c r="F217" s="80"/>
      <c r="G217" s="81"/>
      <c r="H217" s="81"/>
      <c r="I217" s="93"/>
    </row>
    <row r="218" ht="14.25" customHeight="1" spans="2:9">
      <c r="B218" s="78"/>
      <c r="C218" s="79"/>
      <c r="E218" s="4"/>
      <c r="F218" s="80"/>
      <c r="G218" s="81"/>
      <c r="H218" s="81"/>
      <c r="I218" s="93"/>
    </row>
    <row r="219" ht="14.25" customHeight="1" spans="2:9">
      <c r="B219" s="78"/>
      <c r="C219" s="79"/>
      <c r="E219" s="4"/>
      <c r="F219" s="80"/>
      <c r="G219" s="81"/>
      <c r="H219" s="81"/>
      <c r="I219" s="93"/>
    </row>
    <row r="220" ht="14.25" customHeight="1" spans="2:9">
      <c r="B220" s="78"/>
      <c r="C220" s="79"/>
      <c r="E220" s="4"/>
      <c r="F220" s="80"/>
      <c r="G220" s="81"/>
      <c r="H220" s="81"/>
      <c r="I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8:I15" etc:filterBottomFollowUsedRange="0">
    <extLst/>
  </autoFilter>
  <mergeCells count="3">
    <mergeCell ref="B1:E1"/>
    <mergeCell ref="B2:E2"/>
    <mergeCell ref="B3:E3"/>
  </mergeCells>
  <dataValidations count="2">
    <dataValidation type="list" allowBlank="1" showErrorMessage="1" sqref="F10:F12 F14:F15">
      <formula1>"Pass,Fail,N/A,Untested"</formula1>
    </dataValidation>
    <dataValidation type="list" allowBlank="1" showErrorMessage="1" sqref="F1:H2">
      <formula1>$J$1:$J$5</formula1>
    </dataValidation>
  </dataValidations>
  <pageMargins left="0.7" right="0.7" top="0.75" bottom="0.75" header="0" footer="0"/>
  <pageSetup paperSize="1" scale="28"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selection activeCell="A1" sqref="A1"/>
    </sheetView>
  </sheetViews>
  <sheetFormatPr defaultColWidth="14.4259259259259" defaultRowHeight="15" customHeight="1"/>
  <cols>
    <col min="1" max="1" width="8.28703703703704" customWidth="1"/>
    <col min="2" max="2" width="36.1388888888889" customWidth="1"/>
    <col min="3" max="3" width="19.4259259259259" customWidth="1"/>
    <col min="4" max="4" width="20.1388888888889" customWidth="1"/>
    <col min="5" max="7" width="17.287037037037" customWidth="1"/>
    <col min="8" max="8" width="13.1388888888889" customWidth="1"/>
    <col min="10" max="10" width="11.4259259259259" customWidth="1"/>
    <col min="11" max="11" width="14.8611111111111" customWidth="1"/>
    <col min="12" max="26" width="34.287037037037" customWidth="1"/>
  </cols>
  <sheetData>
    <row r="1" ht="14.25" customHeight="1" spans="1:26">
      <c r="A1" s="1"/>
      <c r="B1" s="2"/>
      <c r="C1" s="3"/>
      <c r="D1" s="1"/>
      <c r="E1" s="4"/>
      <c r="F1" s="5"/>
      <c r="G1" s="6"/>
      <c r="H1" s="6"/>
      <c r="I1" s="36"/>
      <c r="J1" s="1"/>
      <c r="K1" s="1"/>
      <c r="L1" s="1"/>
      <c r="M1" s="1"/>
      <c r="N1" s="1"/>
      <c r="O1" s="1"/>
      <c r="P1" s="1"/>
      <c r="Q1" s="1"/>
      <c r="R1" s="1"/>
      <c r="S1" s="1"/>
      <c r="T1" s="1"/>
      <c r="U1" s="1"/>
      <c r="V1" s="1"/>
      <c r="W1" s="1"/>
      <c r="X1" s="1"/>
      <c r="Y1" s="1"/>
      <c r="Z1" s="1"/>
    </row>
    <row r="2" ht="12.75" customHeight="1" spans="1:26">
      <c r="A2" s="7" t="s">
        <v>308</v>
      </c>
      <c r="B2" s="8"/>
      <c r="C2" s="8"/>
      <c r="D2" s="8"/>
      <c r="E2" s="9"/>
      <c r="F2" s="10"/>
      <c r="G2" s="10"/>
      <c r="H2" s="10"/>
      <c r="I2" s="10"/>
      <c r="J2" s="10"/>
      <c r="K2" s="10"/>
      <c r="L2" s="10"/>
      <c r="M2" s="10"/>
      <c r="N2" s="10"/>
      <c r="O2" s="10"/>
      <c r="P2" s="10"/>
      <c r="Q2" s="10"/>
      <c r="R2" s="10"/>
      <c r="S2" s="10"/>
      <c r="T2" s="10"/>
      <c r="U2" s="10"/>
      <c r="V2" s="10"/>
      <c r="W2" s="10"/>
      <c r="X2" s="10"/>
      <c r="Y2" s="10"/>
      <c r="Z2" s="10"/>
    </row>
    <row r="3" ht="12.75" customHeight="1" spans="1:26">
      <c r="A3" s="11" t="s">
        <v>41</v>
      </c>
      <c r="B3" s="12"/>
      <c r="C3" s="13"/>
      <c r="D3" s="13"/>
      <c r="E3" s="14"/>
      <c r="F3" s="10"/>
      <c r="G3" s="10"/>
      <c r="H3" s="10"/>
      <c r="I3" s="10"/>
      <c r="J3" s="10"/>
      <c r="K3" s="10"/>
      <c r="L3" s="10"/>
      <c r="M3" s="10"/>
      <c r="N3" s="10"/>
      <c r="O3" s="10"/>
      <c r="P3" s="10"/>
      <c r="Q3" s="10"/>
      <c r="R3" s="10"/>
      <c r="S3" s="10"/>
      <c r="T3" s="10"/>
      <c r="U3" s="10"/>
      <c r="V3" s="10"/>
      <c r="W3" s="10"/>
      <c r="X3" s="10"/>
      <c r="Y3" s="10"/>
      <c r="Z3" s="10"/>
    </row>
    <row r="4" ht="14.25" customHeight="1" spans="1:26">
      <c r="A4" s="15" t="s">
        <v>43</v>
      </c>
      <c r="B4" s="16"/>
      <c r="C4" s="17"/>
      <c r="D4" s="17"/>
      <c r="E4" s="18"/>
      <c r="F4" s="10"/>
      <c r="G4" s="10"/>
      <c r="H4" s="10"/>
      <c r="I4" s="10"/>
      <c r="J4" s="37"/>
      <c r="K4" s="10"/>
      <c r="L4" s="10"/>
      <c r="M4" s="10"/>
      <c r="N4" s="10"/>
      <c r="O4" s="10"/>
      <c r="P4" s="10"/>
      <c r="Q4" s="10"/>
      <c r="R4" s="10"/>
      <c r="S4" s="10"/>
      <c r="T4" s="10"/>
      <c r="U4" s="10"/>
      <c r="V4" s="10"/>
      <c r="W4" s="10"/>
      <c r="X4" s="10"/>
      <c r="Y4" s="10"/>
      <c r="Z4" s="10"/>
    </row>
    <row r="5" ht="14.25" customHeight="1" spans="1:26">
      <c r="A5" s="19" t="s">
        <v>20</v>
      </c>
      <c r="B5" s="20" t="s">
        <v>21</v>
      </c>
      <c r="C5" s="20" t="s">
        <v>217</v>
      </c>
      <c r="D5" s="21" t="s">
        <v>23</v>
      </c>
      <c r="E5" s="20" t="s">
        <v>44</v>
      </c>
      <c r="F5" s="10"/>
      <c r="G5" s="10"/>
      <c r="H5" s="10"/>
      <c r="I5" s="10"/>
      <c r="J5" s="10"/>
      <c r="K5" s="10"/>
      <c r="L5" s="10"/>
      <c r="M5" s="10"/>
      <c r="N5" s="10"/>
      <c r="O5" s="10"/>
      <c r="P5" s="10"/>
      <c r="Q5" s="10"/>
      <c r="R5" s="10"/>
      <c r="S5" s="10"/>
      <c r="T5" s="10"/>
      <c r="U5" s="10"/>
      <c r="V5" s="10"/>
      <c r="W5" s="10"/>
      <c r="X5" s="10"/>
      <c r="Y5" s="10"/>
      <c r="Z5" s="10"/>
    </row>
    <row r="6" ht="14.25" customHeight="1" spans="1:26">
      <c r="A6" s="22" t="s">
        <v>37</v>
      </c>
      <c r="B6" s="22" t="s">
        <v>37</v>
      </c>
      <c r="C6" s="22" t="s">
        <v>37</v>
      </c>
      <c r="D6" s="22" t="s">
        <v>37</v>
      </c>
      <c r="E6" s="22" t="s">
        <v>37</v>
      </c>
      <c r="F6" s="10"/>
      <c r="G6" s="10"/>
      <c r="H6" s="10"/>
      <c r="I6" s="10"/>
      <c r="J6" s="10"/>
      <c r="K6" s="10"/>
      <c r="L6" s="10"/>
      <c r="M6" s="10"/>
      <c r="N6" s="10"/>
      <c r="O6" s="10"/>
      <c r="P6" s="10"/>
      <c r="Q6" s="10"/>
      <c r="R6" s="10"/>
      <c r="S6" s="10"/>
      <c r="T6" s="10"/>
      <c r="U6" s="10"/>
      <c r="V6" s="10"/>
      <c r="W6" s="10"/>
      <c r="X6" s="10"/>
      <c r="Y6" s="10"/>
      <c r="Z6" s="10"/>
    </row>
    <row r="7" ht="14.25" customHeight="1" spans="1:26">
      <c r="A7" s="10"/>
      <c r="B7" s="23"/>
      <c r="C7" s="24"/>
      <c r="D7" s="23"/>
      <c r="E7" s="25"/>
      <c r="F7" s="24"/>
      <c r="G7" s="24"/>
      <c r="H7" s="26"/>
      <c r="I7" s="10"/>
      <c r="J7" s="10"/>
      <c r="K7" s="10"/>
      <c r="L7" s="10"/>
      <c r="M7" s="10"/>
      <c r="N7" s="10"/>
      <c r="O7" s="10"/>
      <c r="P7" s="10"/>
      <c r="Q7" s="10"/>
      <c r="R7" s="10"/>
      <c r="S7" s="10"/>
      <c r="T7" s="10"/>
      <c r="U7" s="10"/>
      <c r="V7" s="10"/>
      <c r="W7" s="10"/>
      <c r="X7" s="10"/>
      <c r="Y7" s="10"/>
      <c r="Z7" s="10"/>
    </row>
    <row r="8" ht="28.5" customHeight="1" spans="1:26">
      <c r="A8" s="27" t="s">
        <v>18</v>
      </c>
      <c r="B8" s="27" t="s">
        <v>309</v>
      </c>
      <c r="C8" s="28" t="s">
        <v>310</v>
      </c>
      <c r="D8" s="28" t="s">
        <v>311</v>
      </c>
      <c r="E8" s="28" t="s">
        <v>312</v>
      </c>
      <c r="F8" s="28" t="s">
        <v>313</v>
      </c>
      <c r="G8" s="28" t="s">
        <v>314</v>
      </c>
      <c r="H8" s="29" t="s">
        <v>50</v>
      </c>
      <c r="I8" s="29" t="s">
        <v>51</v>
      </c>
      <c r="J8" s="29" t="s">
        <v>43</v>
      </c>
      <c r="K8" s="29" t="s">
        <v>15</v>
      </c>
      <c r="L8" s="1"/>
      <c r="M8" s="1"/>
      <c r="N8" s="1"/>
      <c r="O8" s="1"/>
      <c r="P8" s="1"/>
      <c r="Q8" s="1"/>
      <c r="R8" s="1"/>
      <c r="S8" s="1"/>
      <c r="T8" s="1"/>
      <c r="U8" s="1"/>
      <c r="V8" s="1"/>
      <c r="W8" s="1"/>
      <c r="X8" s="1"/>
      <c r="Y8" s="1"/>
      <c r="Z8" s="1"/>
    </row>
    <row r="9" ht="14.25" customHeight="1" spans="1:26">
      <c r="A9" s="30" t="s">
        <v>315</v>
      </c>
      <c r="B9" s="30"/>
      <c r="C9" s="31"/>
      <c r="D9" s="31"/>
      <c r="E9" s="31"/>
      <c r="F9" s="31"/>
      <c r="G9" s="31"/>
      <c r="H9" s="32"/>
      <c r="I9" s="30"/>
      <c r="J9" s="30"/>
      <c r="K9" s="30"/>
      <c r="L9" s="1"/>
      <c r="M9" s="1"/>
      <c r="N9" s="1"/>
      <c r="O9" s="1"/>
      <c r="P9" s="1"/>
      <c r="Q9" s="1"/>
      <c r="R9" s="1"/>
      <c r="S9" s="1"/>
      <c r="T9" s="1"/>
      <c r="U9" s="1"/>
      <c r="V9" s="1"/>
      <c r="W9" s="1"/>
      <c r="X9" s="1"/>
      <c r="Y9" s="1"/>
      <c r="Z9" s="1"/>
    </row>
    <row r="10" ht="14.25" customHeight="1" spans="1:26">
      <c r="A10" s="33">
        <v>1</v>
      </c>
      <c r="B10" s="34"/>
      <c r="C10" s="35" t="s">
        <v>316</v>
      </c>
      <c r="D10" s="35" t="s">
        <v>317</v>
      </c>
      <c r="E10" s="35" t="s">
        <v>316</v>
      </c>
      <c r="F10" s="35" t="s">
        <v>317</v>
      </c>
      <c r="G10" s="35" t="s">
        <v>316</v>
      </c>
      <c r="H10" s="33"/>
      <c r="I10" s="33"/>
      <c r="J10" s="33"/>
      <c r="K10" s="33"/>
      <c r="L10" s="1"/>
      <c r="M10" s="1"/>
      <c r="N10" s="1"/>
      <c r="O10" s="1"/>
      <c r="P10" s="1"/>
      <c r="Q10" s="1"/>
      <c r="R10" s="1"/>
      <c r="S10" s="1"/>
      <c r="T10" s="1"/>
      <c r="U10" s="1"/>
      <c r="V10" s="1"/>
      <c r="W10" s="1"/>
      <c r="X10" s="1"/>
      <c r="Y10" s="1"/>
      <c r="Z10" s="1"/>
    </row>
    <row r="11" ht="14.25" customHeight="1" spans="1:26">
      <c r="A11" s="33">
        <v>2</v>
      </c>
      <c r="B11" s="34"/>
      <c r="C11" s="35" t="s">
        <v>316</v>
      </c>
      <c r="D11" s="35" t="s">
        <v>317</v>
      </c>
      <c r="E11" s="35" t="s">
        <v>316</v>
      </c>
      <c r="F11" s="35" t="s">
        <v>317</v>
      </c>
      <c r="G11" s="35" t="s">
        <v>316</v>
      </c>
      <c r="H11" s="33"/>
      <c r="I11" s="33"/>
      <c r="J11" s="33"/>
      <c r="K11" s="33"/>
      <c r="L11" s="1"/>
      <c r="M11" s="1"/>
      <c r="N11" s="1"/>
      <c r="O11" s="1"/>
      <c r="P11" s="1"/>
      <c r="Q11" s="1"/>
      <c r="R11" s="1"/>
      <c r="S11" s="1"/>
      <c r="T11" s="1"/>
      <c r="U11" s="1"/>
      <c r="V11" s="1"/>
      <c r="W11" s="1"/>
      <c r="X11" s="1"/>
      <c r="Y11" s="1"/>
      <c r="Z11" s="1"/>
    </row>
    <row r="12" ht="14.25" customHeight="1" spans="1:26">
      <c r="A12" s="33">
        <v>3</v>
      </c>
      <c r="B12" s="34"/>
      <c r="C12" s="35" t="s">
        <v>316</v>
      </c>
      <c r="D12" s="35" t="s">
        <v>317</v>
      </c>
      <c r="E12" s="35" t="s">
        <v>316</v>
      </c>
      <c r="F12" s="35" t="s">
        <v>317</v>
      </c>
      <c r="G12" s="35" t="s">
        <v>316</v>
      </c>
      <c r="H12" s="33"/>
      <c r="I12" s="33"/>
      <c r="J12" s="33"/>
      <c r="K12" s="33"/>
      <c r="L12" s="1"/>
      <c r="M12" s="1"/>
      <c r="N12" s="1"/>
      <c r="O12" s="1"/>
      <c r="P12" s="1"/>
      <c r="Q12" s="1"/>
      <c r="R12" s="1"/>
      <c r="S12" s="1"/>
      <c r="T12" s="1"/>
      <c r="U12" s="1"/>
      <c r="V12" s="1"/>
      <c r="W12" s="1"/>
      <c r="X12" s="1"/>
      <c r="Y12" s="1"/>
      <c r="Z12" s="1"/>
    </row>
    <row r="13" ht="14.25" customHeight="1" spans="1:26">
      <c r="A13" s="33">
        <v>4</v>
      </c>
      <c r="B13" s="34"/>
      <c r="C13" s="35" t="s">
        <v>316</v>
      </c>
      <c r="D13" s="35" t="s">
        <v>317</v>
      </c>
      <c r="E13" s="35" t="s">
        <v>316</v>
      </c>
      <c r="F13" s="35" t="s">
        <v>317</v>
      </c>
      <c r="G13" s="35" t="s">
        <v>316</v>
      </c>
      <c r="H13" s="33"/>
      <c r="I13" s="33"/>
      <c r="J13" s="33"/>
      <c r="K13" s="33"/>
      <c r="L13" s="1"/>
      <c r="M13" s="1"/>
      <c r="N13" s="1"/>
      <c r="O13" s="1"/>
      <c r="P13" s="1"/>
      <c r="Q13" s="1"/>
      <c r="R13" s="1"/>
      <c r="S13" s="1"/>
      <c r="T13" s="1"/>
      <c r="U13" s="1"/>
      <c r="V13" s="1"/>
      <c r="W13" s="1"/>
      <c r="X13" s="1"/>
      <c r="Y13" s="1"/>
      <c r="Z13" s="1"/>
    </row>
    <row r="14" ht="14.25" customHeight="1" spans="1:26">
      <c r="A14" s="33">
        <v>5</v>
      </c>
      <c r="B14" s="34"/>
      <c r="C14" s="35" t="s">
        <v>318</v>
      </c>
      <c r="D14" s="35"/>
      <c r="E14" s="35" t="s">
        <v>318</v>
      </c>
      <c r="F14" s="35"/>
      <c r="G14" s="35" t="s">
        <v>318</v>
      </c>
      <c r="H14" s="33"/>
      <c r="I14" s="33"/>
      <c r="J14" s="33"/>
      <c r="K14" s="33"/>
      <c r="L14" s="1"/>
      <c r="M14" s="1"/>
      <c r="N14" s="1"/>
      <c r="O14" s="1"/>
      <c r="P14" s="1"/>
      <c r="Q14" s="1"/>
      <c r="R14" s="1"/>
      <c r="S14" s="1"/>
      <c r="T14" s="1"/>
      <c r="U14" s="1"/>
      <c r="V14" s="1"/>
      <c r="W14" s="1"/>
      <c r="X14" s="1"/>
      <c r="Y14" s="1"/>
      <c r="Z14" s="1"/>
    </row>
    <row r="15" ht="14.25" customHeight="1" spans="1:26">
      <c r="A15" s="30" t="s">
        <v>319</v>
      </c>
      <c r="B15" s="30"/>
      <c r="C15" s="31"/>
      <c r="D15" s="31"/>
      <c r="E15" s="31"/>
      <c r="F15" s="31"/>
      <c r="G15" s="31"/>
      <c r="H15" s="32"/>
      <c r="I15" s="30"/>
      <c r="J15" s="30"/>
      <c r="K15" s="30"/>
      <c r="L15" s="1"/>
      <c r="M15" s="1"/>
      <c r="N15" s="1"/>
      <c r="O15" s="1"/>
      <c r="P15" s="1"/>
      <c r="Q15" s="1"/>
      <c r="R15" s="1"/>
      <c r="S15" s="1"/>
      <c r="T15" s="1"/>
      <c r="U15" s="1"/>
      <c r="V15" s="1"/>
      <c r="W15" s="1"/>
      <c r="X15" s="1"/>
      <c r="Y15" s="1"/>
      <c r="Z15" s="1"/>
    </row>
    <row r="16" ht="14.25" customHeight="1" spans="1:26">
      <c r="A16" s="33">
        <v>12</v>
      </c>
      <c r="B16" s="34"/>
      <c r="C16" s="35" t="s">
        <v>316</v>
      </c>
      <c r="D16" s="35" t="s">
        <v>317</v>
      </c>
      <c r="E16" s="35" t="s">
        <v>316</v>
      </c>
      <c r="F16" s="35" t="s">
        <v>317</v>
      </c>
      <c r="G16" s="35" t="s">
        <v>316</v>
      </c>
      <c r="H16" s="33"/>
      <c r="I16" s="33"/>
      <c r="J16" s="33"/>
      <c r="K16" s="33"/>
      <c r="L16" s="1"/>
      <c r="M16" s="1"/>
      <c r="N16" s="1"/>
      <c r="O16" s="1"/>
      <c r="P16" s="1"/>
      <c r="Q16" s="1"/>
      <c r="R16" s="1"/>
      <c r="S16" s="1"/>
      <c r="T16" s="1"/>
      <c r="U16" s="1"/>
      <c r="V16" s="1"/>
      <c r="W16" s="1"/>
      <c r="X16" s="1"/>
      <c r="Y16" s="1"/>
      <c r="Z16" s="1"/>
    </row>
    <row r="17" ht="14.25" customHeight="1" spans="1:26">
      <c r="A17" s="33">
        <v>13</v>
      </c>
      <c r="B17" s="34"/>
      <c r="C17" s="35" t="s">
        <v>316</v>
      </c>
      <c r="D17" s="35" t="s">
        <v>317</v>
      </c>
      <c r="E17" s="35" t="s">
        <v>316</v>
      </c>
      <c r="F17" s="35" t="s">
        <v>317</v>
      </c>
      <c r="G17" s="35" t="s">
        <v>316</v>
      </c>
      <c r="H17" s="33"/>
      <c r="I17" s="33"/>
      <c r="J17" s="33"/>
      <c r="K17" s="33"/>
      <c r="L17" s="1"/>
      <c r="M17" s="1"/>
      <c r="N17" s="1"/>
      <c r="O17" s="1"/>
      <c r="P17" s="1"/>
      <c r="Q17" s="1"/>
      <c r="R17" s="1"/>
      <c r="S17" s="1"/>
      <c r="T17" s="1"/>
      <c r="U17" s="1"/>
      <c r="V17" s="1"/>
      <c r="W17" s="1"/>
      <c r="X17" s="1"/>
      <c r="Y17" s="1"/>
      <c r="Z17" s="1"/>
    </row>
    <row r="18" ht="14.25" customHeight="1" spans="1:26">
      <c r="A18" s="33">
        <v>14</v>
      </c>
      <c r="B18" s="34"/>
      <c r="C18" s="35" t="s">
        <v>316</v>
      </c>
      <c r="D18" s="35" t="s">
        <v>316</v>
      </c>
      <c r="E18" s="35" t="s">
        <v>316</v>
      </c>
      <c r="F18" s="35" t="s">
        <v>316</v>
      </c>
      <c r="G18" s="35" t="s">
        <v>316</v>
      </c>
      <c r="H18" s="33"/>
      <c r="I18" s="33"/>
      <c r="J18" s="33"/>
      <c r="K18" s="33"/>
      <c r="L18" s="1"/>
      <c r="M18" s="1"/>
      <c r="N18" s="1"/>
      <c r="O18" s="1"/>
      <c r="P18" s="1"/>
      <c r="Q18" s="1"/>
      <c r="R18" s="1"/>
      <c r="S18" s="1"/>
      <c r="T18" s="1"/>
      <c r="U18" s="1"/>
      <c r="V18" s="1"/>
      <c r="W18" s="1"/>
      <c r="X18" s="1"/>
      <c r="Y18" s="1"/>
      <c r="Z18" s="1"/>
    </row>
    <row r="19" ht="14.25" customHeight="1" spans="1:26">
      <c r="A19" s="33">
        <v>15</v>
      </c>
      <c r="B19" s="34"/>
      <c r="C19" s="35" t="s">
        <v>316</v>
      </c>
      <c r="D19" s="35" t="s">
        <v>316</v>
      </c>
      <c r="E19" s="35" t="s">
        <v>316</v>
      </c>
      <c r="F19" s="35" t="s">
        <v>316</v>
      </c>
      <c r="G19" s="35" t="s">
        <v>316</v>
      </c>
      <c r="H19" s="33"/>
      <c r="I19" s="33"/>
      <c r="J19" s="33"/>
      <c r="K19" s="33"/>
      <c r="L19" s="1"/>
      <c r="M19" s="1"/>
      <c r="N19" s="1"/>
      <c r="O19" s="1"/>
      <c r="P19" s="1"/>
      <c r="Q19" s="1"/>
      <c r="R19" s="1"/>
      <c r="S19" s="1"/>
      <c r="T19" s="1"/>
      <c r="U19" s="1"/>
      <c r="V19" s="1"/>
      <c r="W19" s="1"/>
      <c r="X19" s="1"/>
      <c r="Y19" s="1"/>
      <c r="Z19" s="1"/>
    </row>
    <row r="20" ht="14.25" customHeight="1" spans="1:26">
      <c r="A20" s="33">
        <v>16</v>
      </c>
      <c r="B20" s="34"/>
      <c r="C20" s="35" t="s">
        <v>316</v>
      </c>
      <c r="D20" s="35" t="s">
        <v>316</v>
      </c>
      <c r="E20" s="35" t="s">
        <v>316</v>
      </c>
      <c r="F20" s="35" t="s">
        <v>316</v>
      </c>
      <c r="G20" s="35" t="s">
        <v>316</v>
      </c>
      <c r="H20" s="33"/>
      <c r="I20" s="33"/>
      <c r="J20" s="33"/>
      <c r="K20" s="33"/>
      <c r="L20" s="1"/>
      <c r="M20" s="1"/>
      <c r="N20" s="1"/>
      <c r="O20" s="1"/>
      <c r="P20" s="1"/>
      <c r="Q20" s="1"/>
      <c r="R20" s="1"/>
      <c r="S20" s="1"/>
      <c r="T20" s="1"/>
      <c r="U20" s="1"/>
      <c r="V20" s="1"/>
      <c r="W20" s="1"/>
      <c r="X20" s="1"/>
      <c r="Y20" s="1"/>
      <c r="Z20" s="1"/>
    </row>
    <row r="21" ht="14.2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count="1">
    <dataValidation type="list" allowBlank="1" showErrorMessage="1" sqref="H10:H14 H16:H20">
      <formula1>"Pass,Fail,N/A,Untested"</formula1>
    </dataValidation>
  </dataValidations>
  <pageMargins left="0.7" right="0.7" top="0.75" bottom="0.75" header="0" footer="0"/>
  <pageSetup paperSize="9" scale="40"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13</vt:i4>
      </vt:variant>
    </vt:vector>
  </HeadingPairs>
  <TitlesOfParts>
    <vt:vector size="13" baseType="lpstr">
      <vt:lpstr>Cover</vt:lpstr>
      <vt:lpstr>TestReport</vt:lpstr>
      <vt:lpstr>Đăng ký ứng viên</vt:lpstr>
      <vt:lpstr>Đăng ký nhà tuyển dụng</vt:lpstr>
      <vt:lpstr>Sửa Xóa bài Đăng việc làm</vt:lpstr>
      <vt:lpstr>Đăng nhập hệ thống</vt:lpstr>
      <vt:lpstr>Đăng xuất tài khoản</vt:lpstr>
      <vt:lpstr>Đăng bài tìm ứng viên</vt:lpstr>
      <vt:lpstr>Xem ứng viên ứng tuyển</vt:lpstr>
      <vt:lpstr>Ứng tuyển công việc</vt:lpstr>
      <vt:lpstr>Chỉnh sửa hồ sơ ứng viên</vt:lpstr>
      <vt:lpstr>Ứng viên đăng bài</vt:lpstr>
      <vt:lpstr>Permisison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Khanh (FSU1.BU2)</dc:creator>
  <cp:lastModifiedBy>ASUS</cp:lastModifiedBy>
  <dcterms:created xsi:type="dcterms:W3CDTF">2019-04-08T09:14:00Z</dcterms:created>
  <dcterms:modified xsi:type="dcterms:W3CDTF">2025-02-17T09:27:19Z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3DCB45B7AE2243808A60D2BC46A3E71F_13</vt:lpwstr>
  </property>
  <property fmtid="{D5CDD505-2E9C-101B-9397-08002B2CF9AE}" pid="3" name="KSOProductBuildVer">
    <vt:lpwstr>1033-12.2.0.19805</vt:lpwstr>
  </property>
</Properties>
</file>